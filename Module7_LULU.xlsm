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0" xWindow="0" yWindow="760" windowWidth="20720" windowHeight="13160" tabRatio="600" firstSheet="0" activeTab="4" autoFilterDateGrouping="1"/>
  </bookViews>
  <sheets>
    <sheet xmlns:r="http://schemas.openxmlformats.org/officeDocument/2006/relationships" name="__FDSCACHE__" sheetId="1" state="veryHidden" r:id="rId1"/>
    <sheet xmlns:r="http://schemas.openxmlformats.org/officeDocument/2006/relationships" name="Myoutline" sheetId="2" state="visible" r:id="rId2"/>
    <sheet xmlns:r="http://schemas.openxmlformats.org/officeDocument/2006/relationships" name="IncomeStatement" sheetId="3" state="visible" r:id="rId3"/>
    <sheet xmlns:r="http://schemas.openxmlformats.org/officeDocument/2006/relationships" name="BalanceSheet" sheetId="4" state="visible" r:id="rId4"/>
    <sheet xmlns:r="http://schemas.openxmlformats.org/officeDocument/2006/relationships" name="CashFlow" sheetId="5" state="visible" r:id="rId5"/>
    <sheet xmlns:r="http://schemas.openxmlformats.org/officeDocument/2006/relationships" name="WACC" sheetId="6" state="visible" r:id="rId6"/>
    <sheet xmlns:r="http://schemas.openxmlformats.org/officeDocument/2006/relationships" name="DDM" sheetId="7" state="visible" r:id="rId7"/>
    <sheet xmlns:r="http://schemas.openxmlformats.org/officeDocument/2006/relationships" name="DCF" sheetId="8" state="visible" r:id="rId8"/>
  </sheets>
  <definedNames>
    <definedName name="__FDS_HYPERLINK_TOGGLE_STATE__" hidden="1">"ON"</definedName>
    <definedName name="johns_age">WACC!#REF!</definedName>
    <definedName name="mygradetable">#REF!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_(* #,##0_);_(* \(#,##0\);_(* &quot;-&quot;??_);_(@_)"/>
    <numFmt numFmtId="165" formatCode="0.0%"/>
    <numFmt numFmtId="166" formatCode="0.000000%"/>
    <numFmt numFmtId="167" formatCode="&quot;$&quot;#,##0.00_);[Red]\(&quot;$&quot;#,##0.00\)"/>
    <numFmt numFmtId="168" formatCode="&quot;$&quot;#,##0_);[Red]\(&quot;$&quot;#,##0\)"/>
    <numFmt numFmtId="169" formatCode="#,##0.000;[Red]\-#,##0.000"/>
    <numFmt numFmtId="170" formatCode="_(&quot;$&quot;* #,##0.00_);_(&quot;$&quot;* \(#,##0.00\);_(&quot;$&quot;* &quot;-&quot;??_);_(@_)"/>
  </numFmts>
  <fonts count="49">
    <font>
      <name val="Arial"/>
      <family val="2"/>
      <sz val="10"/>
    </font>
    <font>
      <name val="Arial"/>
      <family val="2"/>
      <color theme="1"/>
      <sz val="10"/>
    </font>
    <font>
      <name val="Arial"/>
      <family val="2"/>
      <color theme="1"/>
      <sz val="10"/>
    </font>
    <font>
      <name val="Arial"/>
      <family val="2"/>
      <color theme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theme="1"/>
      <sz val="11"/>
      <scheme val="minor"/>
    </font>
    <font>
      <name val="Times New Roman"/>
      <family val="1"/>
      <sz val="9"/>
    </font>
    <font>
      <name val="Arial"/>
      <family val="2"/>
      <b val="1"/>
      <sz val="10"/>
    </font>
    <font>
      <name val="Arial"/>
      <family val="2"/>
      <color indexed="10"/>
      <sz val="10"/>
    </font>
    <font>
      <name val="Arial"/>
      <family val="2"/>
      <b val="1"/>
      <color theme="1"/>
      <sz val="14"/>
    </font>
    <font>
      <name val="Arial"/>
      <family val="2"/>
      <color theme="1"/>
      <sz val="11"/>
    </font>
    <font>
      <name val="Arial"/>
      <family val="2"/>
      <color rgb="FF0070C0"/>
      <sz val="10"/>
    </font>
    <font>
      <name val="Arial"/>
      <family val="2"/>
      <b val="1"/>
      <color rgb="FF0070C0"/>
      <sz val="10"/>
    </font>
    <font>
      <name val="Arial"/>
      <family val="2"/>
      <color rgb="FFFF0000"/>
      <sz val="10"/>
    </font>
    <font>
      <name val="Arial"/>
      <family val="2"/>
      <sz val="10"/>
    </font>
    <font>
      <name val="Arial"/>
      <family val="2"/>
      <color indexed="39"/>
      <sz val="10"/>
    </font>
    <font>
      <name val="Arial"/>
      <family val="2"/>
      <sz val="10"/>
      <vertAlign val="subscript"/>
    </font>
    <font>
      <name val="Arial"/>
      <family val="2"/>
      <b val="1"/>
      <sz val="14"/>
    </font>
    <font>
      <name val="Arial"/>
      <family val="2"/>
      <b val="1"/>
      <sz val="16"/>
    </font>
    <font>
      <name val="Arial"/>
      <family val="2"/>
      <sz val="16"/>
    </font>
    <font>
      <name val="Arial"/>
      <family val="2"/>
      <color indexed="9"/>
      <sz val="10"/>
    </font>
    <font>
      <name val="Arial"/>
      <family val="2"/>
      <b val="1"/>
      <i val="1"/>
      <sz val="10"/>
      <u val="single"/>
    </font>
    <font>
      <name val="Arial"/>
      <family val="2"/>
      <b val="1"/>
      <sz val="10"/>
      <vertAlign val="subscript"/>
    </font>
    <font>
      <name val="Arial"/>
      <family val="2"/>
      <color indexed="12"/>
      <sz val="10"/>
    </font>
    <font>
      <name val="Arial"/>
      <family val="2"/>
      <color indexed="10"/>
      <sz val="10"/>
    </font>
    <font>
      <name val="Arial"/>
      <family val="2"/>
      <b val="1"/>
      <color indexed="12"/>
      <sz val="10"/>
    </font>
    <font>
      <name val="Arial"/>
      <family val="2"/>
      <i val="1"/>
      <sz val="10"/>
    </font>
    <font>
      <name val="Arial"/>
      <family val="2"/>
      <b val="1"/>
      <i val="1"/>
      <sz val="10"/>
    </font>
    <font>
      <name val="Arial"/>
      <family val="2"/>
      <b val="1"/>
      <sz val="12"/>
    </font>
    <font>
      <name val="Arial"/>
      <family val="2"/>
      <b val="1"/>
      <color indexed="9"/>
      <sz val="12"/>
    </font>
    <font>
      <name val="Arial"/>
      <family val="2"/>
      <b val="1"/>
      <color theme="1"/>
      <sz val="10"/>
    </font>
    <font>
      <name val="Arial"/>
      <family val="2"/>
      <b val="1"/>
      <color rgb="FFFF0000"/>
      <sz val="10"/>
    </font>
    <font>
      <name val="Arial"/>
      <family val="2"/>
      <b val="1"/>
      <color theme="1"/>
      <sz val="12"/>
      <u val="single"/>
    </font>
    <font>
      <name val="Arial"/>
      <family val="2"/>
      <b val="1"/>
      <sz val="12"/>
      <u val="single"/>
    </font>
    <font>
      <name val="Arial"/>
      <family val="2"/>
      <i val="1"/>
      <color rgb="FFFF0000"/>
      <sz val="10"/>
    </font>
    <font>
      <name val="Times New Roman"/>
      <family val="1"/>
      <color rgb="FF000000"/>
      <sz val="12"/>
    </font>
    <font>
      <name val="Times New Roman"/>
      <family val="1"/>
      <i val="1"/>
      <sz val="9"/>
    </font>
    <font>
      <name val="Times New Roman"/>
      <family val="1"/>
      <sz val="10"/>
    </font>
    <font>
      <name val="Times New Roman"/>
      <family val="1"/>
      <sz val="12"/>
    </font>
    <font>
      <name val="Times New Roman"/>
      <family val="1"/>
      <b val="1"/>
      <sz val="14"/>
    </font>
    <font>
      <name val="Times New Roman"/>
      <family val="1"/>
      <b val="1"/>
      <sz val="12"/>
    </font>
    <font>
      <name val="Arial"/>
      <family val="2"/>
      <b val="1"/>
      <color rgb="FFC00000"/>
      <sz val="10"/>
    </font>
    <font>
      <name val="Times New Roman"/>
      <family val="1"/>
      <b val="1"/>
      <sz val="24"/>
      <u val="single"/>
    </font>
    <font>
      <name val="Arial"/>
      <family val="2"/>
      <color rgb="FF000000"/>
      <sz val="10"/>
    </font>
    <font>
      <name val="Times New Roman"/>
      <family val="1"/>
      <color theme="1"/>
      <sz val="9"/>
    </font>
    <font>
      <b val="1"/>
      <sz val="14"/>
    </font>
    <font>
      <b val="1"/>
    </font>
    <font>
      <b val="1"/>
      <color rgb="00FF0000"/>
    </font>
  </fonts>
  <fills count="10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9"/>
      </left>
      <right style="thin">
        <color indexed="64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/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</borders>
  <cellStyleXfs count="10">
    <xf numFmtId="0" fontId="15" fillId="0" borderId="0"/>
    <xf numFmtId="43" fontId="3" fillId="0" borderId="0"/>
    <xf numFmtId="9" fontId="3" fillId="0" borderId="0"/>
    <xf numFmtId="0" fontId="6" fillId="0" borderId="0"/>
    <xf numFmtId="0" fontId="3" fillId="0" borderId="0"/>
    <xf numFmtId="170" fontId="15" fillId="0" borderId="0"/>
    <xf numFmtId="0" fontId="11" fillId="3" borderId="0"/>
    <xf numFmtId="0" fontId="15" fillId="0" borderId="0"/>
    <xf numFmtId="9" fontId="15" fillId="0" borderId="0"/>
    <xf numFmtId="43" fontId="15" fillId="0" borderId="0"/>
  </cellStyleXfs>
  <cellXfs count="287">
    <xf numFmtId="0" fontId="0" fillId="0" borderId="0" pivotButton="0" quotePrefix="0" xfId="0"/>
    <xf numFmtId="2" fontId="8" fillId="0" borderId="0" pivotButton="0" quotePrefix="0" xfId="0"/>
    <xf numFmtId="3" fontId="4" fillId="0" borderId="0" pivotButton="0" quotePrefix="0" xfId="1"/>
    <xf numFmtId="2" fontId="4" fillId="0" borderId="0" applyAlignment="1" pivotButton="0" quotePrefix="0" xfId="0">
      <alignment horizontal="left" indent="2"/>
    </xf>
    <xf numFmtId="3" fontId="4" fillId="0" borderId="2" pivotButton="0" quotePrefix="0" xfId="0"/>
    <xf numFmtId="0" fontId="4" fillId="0" borderId="0" applyAlignment="1" pivotButton="0" quotePrefix="0" xfId="0">
      <alignment horizontal="left" indent="2"/>
    </xf>
    <xf numFmtId="3" fontId="4" fillId="0" borderId="3" pivotButton="0" quotePrefix="0" xfId="0"/>
    <xf numFmtId="2" fontId="10" fillId="0" borderId="0" applyAlignment="1" pivotButton="0" quotePrefix="0" xfId="0">
      <alignment horizontal="left"/>
    </xf>
    <xf numFmtId="2" fontId="8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center" wrapText="1"/>
    </xf>
    <xf numFmtId="3" fontId="0" fillId="0" borderId="2" pivotButton="0" quotePrefix="0" xfId="0"/>
    <xf numFmtId="3" fontId="0" fillId="0" borderId="0" pivotButton="0" quotePrefix="0" xfId="0"/>
    <xf numFmtId="2" fontId="4" fillId="0" borderId="0" applyAlignment="1" pivotButton="0" quotePrefix="0" xfId="4">
      <alignment horizontal="left"/>
    </xf>
    <xf numFmtId="164" fontId="0" fillId="0" borderId="0" pivotButton="0" quotePrefix="0" xfId="1"/>
    <xf numFmtId="0" fontId="8" fillId="2" borderId="0" applyAlignment="1" pivotButton="0" quotePrefix="0" xfId="0">
      <alignment horizontal="center" wrapText="1"/>
    </xf>
    <xf numFmtId="49" fontId="4" fillId="0" borderId="4" applyAlignment="1" pivotButton="0" quotePrefix="0" xfId="6">
      <alignment horizontal="left"/>
    </xf>
    <xf numFmtId="0" fontId="4" fillId="0" borderId="4" applyAlignment="1" pivotButton="0" quotePrefix="0" xfId="6">
      <alignment horizontal="left"/>
    </xf>
    <xf numFmtId="0" fontId="8" fillId="0" borderId="0" pivotButton="0" quotePrefix="0" xfId="0"/>
    <xf numFmtId="49" fontId="4" fillId="0" borderId="4" applyAlignment="1" pivotButton="0" quotePrefix="0" xfId="6">
      <alignment horizontal="left" indent="3"/>
    </xf>
    <xf numFmtId="49" fontId="8" fillId="0" borderId="4" applyAlignment="1" pivotButton="0" quotePrefix="0" xfId="6">
      <alignment horizontal="left" indent="1"/>
    </xf>
    <xf numFmtId="49" fontId="4" fillId="0" borderId="0" applyAlignment="1" pivotButton="0" quotePrefix="0" xfId="6">
      <alignment horizontal="left"/>
    </xf>
    <xf numFmtId="164" fontId="0" fillId="0" borderId="0" pivotButton="0" quotePrefix="0" xfId="0"/>
    <xf numFmtId="1" fontId="0" fillId="0" borderId="0" pivotButton="0" quotePrefix="0" xfId="0"/>
    <xf numFmtId="2" fontId="12" fillId="0" borderId="0" applyAlignment="1" pivotButton="0" quotePrefix="0" xfId="0">
      <alignment horizontal="left" indent="2"/>
    </xf>
    <xf numFmtId="0" fontId="12" fillId="0" borderId="0" applyAlignment="1" pivotButton="0" quotePrefix="0" xfId="0">
      <alignment horizontal="left" indent="2"/>
    </xf>
    <xf numFmtId="165" fontId="12" fillId="0" borderId="0" applyAlignment="1" pivotButton="0" quotePrefix="0" xfId="2">
      <alignment horizontal="center"/>
    </xf>
    <xf numFmtId="165" fontId="12" fillId="0" borderId="7" applyAlignment="1" pivotButton="0" quotePrefix="0" xfId="2">
      <alignment horizontal="center"/>
    </xf>
    <xf numFmtId="165" fontId="12" fillId="0" borderId="8" applyAlignment="1" pivotButton="0" quotePrefix="0" xfId="2">
      <alignment horizontal="center"/>
    </xf>
    <xf numFmtId="165" fontId="12" fillId="0" borderId="9" applyAlignment="1" pivotButton="0" quotePrefix="0" xfId="2">
      <alignment horizontal="center"/>
    </xf>
    <xf numFmtId="165" fontId="13" fillId="0" borderId="12" applyAlignment="1" pivotButton="0" quotePrefix="0" xfId="0">
      <alignment horizontal="center"/>
    </xf>
    <xf numFmtId="165" fontId="13" fillId="0" borderId="13" applyAlignment="1" pivotButton="0" quotePrefix="0" xfId="0">
      <alignment horizontal="center"/>
    </xf>
    <xf numFmtId="0" fontId="12" fillId="0" borderId="0" pivotButton="0" quotePrefix="0" xfId="0"/>
    <xf numFmtId="0" fontId="13" fillId="0" borderId="0" pivotButton="0" quotePrefix="0" xfId="0"/>
    <xf numFmtId="2" fontId="8" fillId="0" borderId="0" pivotButton="0" quotePrefix="0" xfId="4"/>
    <xf numFmtId="3" fontId="0" fillId="0" borderId="0" pivotButton="0" quotePrefix="0" xfId="1"/>
    <xf numFmtId="0" fontId="12" fillId="0" borderId="0" applyAlignment="1" pivotButton="0" quotePrefix="0" xfId="0">
      <alignment horizontal="left" indent="3"/>
    </xf>
    <xf numFmtId="1" fontId="12" fillId="0" borderId="0" pivotButton="0" quotePrefix="0" xfId="0"/>
    <xf numFmtId="2" fontId="12" fillId="0" borderId="0" applyAlignment="1" pivotButton="0" quotePrefix="0" xfId="4">
      <alignment horizontal="left"/>
    </xf>
    <xf numFmtId="49" fontId="12" fillId="0" borderId="4" applyAlignment="1" pivotButton="0" quotePrefix="0" xfId="6">
      <alignment horizontal="left" indent="3"/>
    </xf>
    <xf numFmtId="49" fontId="12" fillId="0" borderId="4" applyAlignment="1" pivotButton="0" quotePrefix="0" xfId="6">
      <alignment horizontal="left"/>
    </xf>
    <xf numFmtId="0" fontId="0" fillId="0" borderId="0" applyAlignment="1" pivotButton="0" quotePrefix="0" xfId="0">
      <alignment wrapText="1"/>
    </xf>
    <xf numFmtId="4" fontId="0" fillId="0" borderId="0" pivotButton="0" quotePrefix="0" xfId="5"/>
    <xf numFmtId="2" fontId="7" fillId="0" borderId="0" applyAlignment="1" pivotButton="0" quotePrefix="0" xfId="4">
      <alignment horizontal="left"/>
    </xf>
    <xf numFmtId="0" fontId="0" fillId="0" borderId="0" applyAlignment="1" pivotButton="0" quotePrefix="0" xfId="0">
      <alignment horizontal="left" indent="2"/>
    </xf>
    <xf numFmtId="49" fontId="0" fillId="0" borderId="4" applyAlignment="1" pivotButton="0" quotePrefix="0" xfId="6">
      <alignment horizontal="left" indent="3"/>
    </xf>
    <xf numFmtId="3" fontId="4" fillId="0" borderId="2" pivotButton="0" quotePrefix="0" xfId="1"/>
    <xf numFmtId="3" fontId="8" fillId="0" borderId="0" pivotButton="0" quotePrefix="0" xfId="1"/>
    <xf numFmtId="3" fontId="0" fillId="0" borderId="3" pivotButton="0" quotePrefix="0" xfId="1"/>
    <xf numFmtId="3" fontId="14" fillId="0" borderId="0" pivotButton="0" quotePrefix="0" xfId="1"/>
    <xf numFmtId="3" fontId="4" fillId="0" borderId="2" pivotButton="0" quotePrefix="0" xfId="1"/>
    <xf numFmtId="3" fontId="4" fillId="0" borderId="0" pivotButton="0" quotePrefix="0" xfId="1"/>
    <xf numFmtId="3" fontId="4" fillId="0" borderId="5" pivotButton="0" quotePrefix="0" xfId="1"/>
    <xf numFmtId="3" fontId="4" fillId="0" borderId="0" applyAlignment="1" pivotButton="0" quotePrefix="0" xfId="1">
      <alignment horizontal="left"/>
    </xf>
    <xf numFmtId="3" fontId="8" fillId="0" borderId="0" pivotButton="0" quotePrefix="0" xfId="1"/>
    <xf numFmtId="3" fontId="4" fillId="0" borderId="0" applyAlignment="1" pivotButton="0" quotePrefix="0" xfId="1">
      <alignment horizontal="left" indent="3"/>
    </xf>
    <xf numFmtId="43" fontId="0" fillId="0" borderId="0" pivotButton="0" quotePrefix="0" xfId="0"/>
    <xf numFmtId="3" fontId="4" fillId="0" borderId="0" pivotButton="0" quotePrefix="0" xfId="1"/>
    <xf numFmtId="166" fontId="0" fillId="0" borderId="0" pivotButton="0" quotePrefix="0" xfId="0"/>
    <xf numFmtId="0" fontId="15" fillId="0" borderId="0" pivotButton="0" quotePrefix="0" xfId="7"/>
    <xf numFmtId="10" fontId="8" fillId="0" borderId="0" pivotButton="0" quotePrefix="0" xfId="8"/>
    <xf numFmtId="0" fontId="4" fillId="0" borderId="0" pivotButton="0" quotePrefix="0" xfId="7"/>
    <xf numFmtId="167" fontId="8" fillId="0" borderId="0" pivotButton="0" quotePrefix="0" xfId="7"/>
    <xf numFmtId="0" fontId="8" fillId="0" borderId="0" pivotButton="0" quotePrefix="0" xfId="7"/>
    <xf numFmtId="167" fontId="15" fillId="0" borderId="0" pivotButton="0" quotePrefix="0" xfId="7"/>
    <xf numFmtId="0" fontId="15" fillId="0" borderId="14" applyAlignment="1" pivotButton="0" quotePrefix="0" xfId="7">
      <alignment horizontal="right"/>
    </xf>
    <xf numFmtId="4" fontId="15" fillId="0" borderId="14" pivotButton="0" quotePrefix="0" xfId="7"/>
    <xf numFmtId="167" fontId="16" fillId="4" borderId="15" pivotButton="0" quotePrefix="0" xfId="7"/>
    <xf numFmtId="10" fontId="16" fillId="4" borderId="15" pivotButton="0" quotePrefix="0" xfId="8"/>
    <xf numFmtId="0" fontId="18" fillId="0" borderId="0" pivotButton="0" quotePrefix="0" xfId="7"/>
    <xf numFmtId="0" fontId="19" fillId="0" borderId="0" pivotButton="0" quotePrefix="0" xfId="7"/>
    <xf numFmtId="9" fontId="15" fillId="0" borderId="14" pivotButton="0" quotePrefix="0" xfId="7"/>
    <xf numFmtId="0" fontId="20" fillId="0" borderId="0" pivotButton="0" quotePrefix="0" xfId="7"/>
    <xf numFmtId="0" fontId="8" fillId="0" borderId="0" applyAlignment="1" pivotButton="0" quotePrefix="0" xfId="7">
      <alignment horizontal="center"/>
    </xf>
    <xf numFmtId="43" fontId="0" fillId="0" borderId="0" pivotButton="0" quotePrefix="0" xfId="9"/>
    <xf numFmtId="10" fontId="15" fillId="0" borderId="16" pivotButton="0" quotePrefix="0" xfId="7"/>
    <xf numFmtId="10" fontId="15" fillId="0" borderId="17" pivotButton="0" quotePrefix="0" xfId="7"/>
    <xf numFmtId="43" fontId="21" fillId="5" borderId="18" pivotButton="0" quotePrefix="0" xfId="9"/>
    <xf numFmtId="0" fontId="15" fillId="0" borderId="19" pivotButton="0" quotePrefix="0" xfId="7"/>
    <xf numFmtId="10" fontId="15" fillId="0" borderId="20" pivotButton="0" quotePrefix="0" xfId="7"/>
    <xf numFmtId="10" fontId="15" fillId="0" borderId="21" pivotButton="0" quotePrefix="0" xfId="7"/>
    <xf numFmtId="43" fontId="21" fillId="5" borderId="15" pivotButton="0" quotePrefix="0" xfId="9"/>
    <xf numFmtId="0" fontId="15" fillId="0" borderId="22" pivotButton="0" quotePrefix="0" xfId="7"/>
    <xf numFmtId="0" fontId="8" fillId="0" borderId="22" applyAlignment="1" pivotButton="0" quotePrefix="0" xfId="7">
      <alignment horizontal="right"/>
    </xf>
    <xf numFmtId="10" fontId="15" fillId="0" borderId="23" pivotButton="0" quotePrefix="0" xfId="7"/>
    <xf numFmtId="10" fontId="15" fillId="0" borderId="24" pivotButton="0" quotePrefix="0" xfId="7"/>
    <xf numFmtId="9" fontId="21" fillId="5" borderId="25" applyAlignment="1" pivotButton="0" quotePrefix="0" xfId="7">
      <alignment horizontal="center"/>
    </xf>
    <xf numFmtId="9" fontId="21" fillId="5" borderId="15" applyAlignment="1" pivotButton="0" quotePrefix="0" xfId="7">
      <alignment horizontal="center"/>
    </xf>
    <xf numFmtId="10" fontId="21" fillId="6" borderId="15" pivotButton="0" quotePrefix="0" xfId="7"/>
    <xf numFmtId="0" fontId="15" fillId="0" borderId="1" pivotButton="0" quotePrefix="0" xfId="7"/>
    <xf numFmtId="0" fontId="15" fillId="0" borderId="27" pivotButton="0" quotePrefix="0" xfId="7"/>
    <xf numFmtId="0" fontId="22" fillId="0" borderId="0" applyAlignment="1" pivotButton="0" quotePrefix="0" xfId="7">
      <alignment horizontal="center"/>
    </xf>
    <xf numFmtId="10" fontId="8" fillId="0" borderId="0" pivotButton="0" quotePrefix="0" xfId="7"/>
    <xf numFmtId="165" fontId="0" fillId="0" borderId="0" pivotButton="0" quotePrefix="0" xfId="8"/>
    <xf numFmtId="165" fontId="15" fillId="0" borderId="0" pivotButton="0" quotePrefix="0" xfId="8"/>
    <xf numFmtId="0" fontId="15" fillId="0" borderId="0" applyAlignment="1" pivotButton="0" quotePrefix="0" xfId="7">
      <alignment horizontal="right"/>
    </xf>
    <xf numFmtId="165" fontId="16" fillId="4" borderId="15" pivotButton="0" quotePrefix="0" xfId="8"/>
    <xf numFmtId="43" fontId="16" fillId="4" borderId="15" pivotButton="0" quotePrefix="0" xfId="9"/>
    <xf numFmtId="43" fontId="15" fillId="0" borderId="0" pivotButton="0" quotePrefix="0" xfId="7"/>
    <xf numFmtId="4" fontId="15" fillId="0" borderId="0" pivotButton="0" quotePrefix="0" xfId="7"/>
    <xf numFmtId="4" fontId="24" fillId="7" borderId="21" pivotButton="0" quotePrefix="0" xfId="7"/>
    <xf numFmtId="0" fontId="15" fillId="0" borderId="21" pivotButton="0" quotePrefix="0" xfId="7"/>
    <xf numFmtId="4" fontId="15" fillId="0" borderId="21" pivotButton="0" quotePrefix="0" xfId="7"/>
    <xf numFmtId="10" fontId="24" fillId="0" borderId="21" pivotButton="0" quotePrefix="0" xfId="7"/>
    <xf numFmtId="4" fontId="24" fillId="0" borderId="21" pivotButton="0" quotePrefix="0" xfId="7"/>
    <xf numFmtId="10" fontId="25" fillId="0" borderId="21" pivotButton="0" quotePrefix="0" xfId="8"/>
    <xf numFmtId="165" fontId="25" fillId="0" borderId="21" pivotButton="0" quotePrefix="0" xfId="8"/>
    <xf numFmtId="10" fontId="25" fillId="0" borderId="21" pivotButton="0" quotePrefix="0" xfId="7"/>
    <xf numFmtId="10" fontId="24" fillId="0" borderId="0" pivotButton="0" quotePrefix="0" xfId="7"/>
    <xf numFmtId="167" fontId="8" fillId="0" borderId="29" pivotButton="0" quotePrefix="0" xfId="7"/>
    <xf numFmtId="164" fontId="8" fillId="0" borderId="0" pivotButton="0" quotePrefix="0" xfId="9"/>
    <xf numFmtId="168" fontId="8" fillId="0" borderId="2" pivotButton="0" quotePrefix="0" xfId="7"/>
    <xf numFmtId="168" fontId="8" fillId="0" borderId="0" pivotButton="0" quotePrefix="0" xfId="7"/>
    <xf numFmtId="0" fontId="8" fillId="0" borderId="0" applyAlignment="1" pivotButton="0" quotePrefix="0" xfId="7">
      <alignment horizontal="right"/>
    </xf>
    <xf numFmtId="168" fontId="8" fillId="0" borderId="31" pivotButton="0" quotePrefix="0" xfId="7"/>
    <xf numFmtId="168" fontId="26" fillId="8" borderId="32" pivotButton="0" quotePrefix="0" xfId="7"/>
    <xf numFmtId="168" fontId="26" fillId="8" borderId="31" pivotButton="0" quotePrefix="0" xfId="7"/>
    <xf numFmtId="0" fontId="8" fillId="0" borderId="32" pivotButton="0" quotePrefix="0" xfId="7"/>
    <xf numFmtId="164" fontId="0" fillId="0" borderId="0" pivotButton="0" quotePrefix="0" xfId="9"/>
    <xf numFmtId="164" fontId="24" fillId="8" borderId="30" pivotButton="0" quotePrefix="0" xfId="9"/>
    <xf numFmtId="164" fontId="24" fillId="8" borderId="0" pivotButton="0" quotePrefix="0" xfId="9"/>
    <xf numFmtId="0" fontId="15" fillId="0" borderId="30" pivotButton="0" quotePrefix="1" xfId="7"/>
    <xf numFmtId="164" fontId="0" fillId="0" borderId="21" pivotButton="0" quotePrefix="0" xfId="9"/>
    <xf numFmtId="164" fontId="24" fillId="8" borderId="33" pivotButton="0" quotePrefix="0" xfId="9"/>
    <xf numFmtId="164" fontId="24" fillId="8" borderId="21" pivotButton="0" quotePrefix="0" xfId="9"/>
    <xf numFmtId="0" fontId="15" fillId="0" borderId="33" pivotButton="0" quotePrefix="1" xfId="7"/>
    <xf numFmtId="168" fontId="15" fillId="0" borderId="0" pivotButton="0" quotePrefix="0" xfId="7"/>
    <xf numFmtId="168" fontId="24" fillId="8" borderId="30" pivotButton="0" quotePrefix="0" xfId="7"/>
    <xf numFmtId="168" fontId="24" fillId="8" borderId="0" pivotButton="0" quotePrefix="0" xfId="7"/>
    <xf numFmtId="0" fontId="15" fillId="0" borderId="30" pivotButton="0" quotePrefix="0" xfId="7"/>
    <xf numFmtId="0" fontId="8" fillId="0" borderId="34" applyAlignment="1" pivotButton="0" quotePrefix="0" xfId="7">
      <alignment horizontal="center"/>
    </xf>
    <xf numFmtId="0" fontId="8" fillId="8" borderId="35" applyAlignment="1" pivotButton="0" quotePrefix="0" xfId="7">
      <alignment horizontal="center"/>
    </xf>
    <xf numFmtId="0" fontId="8" fillId="8" borderId="34" applyAlignment="1" pivotButton="0" quotePrefix="0" xfId="7">
      <alignment horizontal="center"/>
    </xf>
    <xf numFmtId="0" fontId="27" fillId="0" borderId="35" pivotButton="0" quotePrefix="0" xfId="7"/>
    <xf numFmtId="164" fontId="8" fillId="0" borderId="2" pivotButton="0" quotePrefix="0" xfId="7"/>
    <xf numFmtId="168" fontId="8" fillId="0" borderId="36" pivotButton="0" quotePrefix="0" xfId="7"/>
    <xf numFmtId="168" fontId="26" fillId="8" borderId="37" pivotButton="0" quotePrefix="0" xfId="7"/>
    <xf numFmtId="168" fontId="26" fillId="8" borderId="36" pivotButton="0" quotePrefix="0" xfId="7"/>
    <xf numFmtId="0" fontId="8" fillId="0" borderId="37" pivotButton="0" quotePrefix="0" xfId="7"/>
    <xf numFmtId="164" fontId="0" fillId="0" borderId="38" pivotButton="0" quotePrefix="0" xfId="9"/>
    <xf numFmtId="164" fontId="24" fillId="8" borderId="39" pivotButton="0" quotePrefix="0" xfId="9"/>
    <xf numFmtId="164" fontId="24" fillId="8" borderId="38" pivotButton="0" quotePrefix="0" xfId="9"/>
    <xf numFmtId="0" fontId="15" fillId="0" borderId="39" pivotButton="0" quotePrefix="0" xfId="7"/>
    <xf numFmtId="43" fontId="0" fillId="0" borderId="39" applyAlignment="1" pivotButton="0" quotePrefix="0" xfId="9">
      <alignment horizontal="left"/>
    </xf>
    <xf numFmtId="168" fontId="15" fillId="0" borderId="21" pivotButton="0" quotePrefix="0" xfId="7"/>
    <xf numFmtId="0" fontId="15" fillId="0" borderId="33" pivotButton="0" quotePrefix="0" xfId="7"/>
    <xf numFmtId="0" fontId="29" fillId="0" borderId="0" pivotButton="0" quotePrefix="0" xfId="7"/>
    <xf numFmtId="41" fontId="24" fillId="8" borderId="30" pivotButton="0" quotePrefix="0" xfId="9"/>
    <xf numFmtId="1" fontId="24" fillId="8" borderId="38" pivotButton="0" quotePrefix="0" xfId="9"/>
    <xf numFmtId="1" fontId="24" fillId="8" borderId="39" pivotButton="0" quotePrefix="0" xfId="9"/>
    <xf numFmtId="2" fontId="15" fillId="0" borderId="0" pivotButton="0" quotePrefix="0" xfId="7"/>
    <xf numFmtId="10" fontId="8" fillId="0" borderId="0" applyAlignment="1" pivotButton="0" quotePrefix="0" xfId="7">
      <alignment horizontal="center"/>
    </xf>
    <xf numFmtId="10" fontId="9" fillId="0" borderId="21" pivotButton="0" quotePrefix="0" xfId="7"/>
    <xf numFmtId="10" fontId="0" fillId="0" borderId="21" pivotButton="0" quotePrefix="0" xfId="7"/>
    <xf numFmtId="10" fontId="14" fillId="0" borderId="15" pivotButton="0" quotePrefix="0" xfId="8"/>
    <xf numFmtId="165" fontId="15" fillId="0" borderId="0" pivotButton="0" quotePrefix="0" xfId="7"/>
    <xf numFmtId="2" fontId="31" fillId="0" borderId="0" pivotButton="0" quotePrefix="0" xfId="0"/>
    <xf numFmtId="0" fontId="1" fillId="0" borderId="0" pivotButton="0" quotePrefix="0" xfId="0"/>
    <xf numFmtId="2" fontId="1" fillId="0" borderId="0" applyAlignment="1" pivotButton="0" quotePrefix="0" xfId="0">
      <alignment horizontal="left" indent="2"/>
    </xf>
    <xf numFmtId="0" fontId="1" fillId="0" borderId="0" applyAlignment="1" pivotButton="0" quotePrefix="0" xfId="0">
      <alignment horizontal="left" indent="2"/>
    </xf>
    <xf numFmtId="2" fontId="1" fillId="0" borderId="0" applyAlignment="1" pivotButton="0" quotePrefix="0" xfId="4">
      <alignment horizontal="left"/>
    </xf>
    <xf numFmtId="0" fontId="32" fillId="0" borderId="0" pivotButton="0" quotePrefix="0" xfId="0"/>
    <xf numFmtId="0" fontId="14" fillId="0" borderId="0" pivotButton="0" quotePrefix="0" xfId="0"/>
    <xf numFmtId="0" fontId="34" fillId="0" borderId="0" pivotButton="0" quotePrefix="0" xfId="0"/>
    <xf numFmtId="49" fontId="14" fillId="0" borderId="0" applyAlignment="1" pivotButton="0" quotePrefix="0" xfId="6">
      <alignment horizontal="left"/>
    </xf>
    <xf numFmtId="0" fontId="0" fillId="0" borderId="4" applyAlignment="1" pivotButton="0" quotePrefix="0" xfId="6">
      <alignment horizontal="left"/>
    </xf>
    <xf numFmtId="0" fontId="4" fillId="0" borderId="0" pivotButton="0" quotePrefix="0" xfId="0"/>
    <xf numFmtId="0" fontId="14" fillId="0" borderId="0" applyAlignment="1" pivotButton="0" quotePrefix="0" xfId="0">
      <alignment wrapText="1"/>
    </xf>
    <xf numFmtId="3" fontId="14" fillId="2" borderId="0" pivotButton="0" quotePrefix="0" xfId="1"/>
    <xf numFmtId="3" fontId="14" fillId="2" borderId="2" pivotButton="0" quotePrefix="0" xfId="0"/>
    <xf numFmtId="3" fontId="14" fillId="2" borderId="0" pivotButton="0" quotePrefix="0" xfId="0"/>
    <xf numFmtId="3" fontId="14" fillId="2" borderId="3" pivotButton="0" quotePrefix="0" xfId="0"/>
    <xf numFmtId="0" fontId="14" fillId="2" borderId="0" pivotButton="0" quotePrefix="0" xfId="0"/>
    <xf numFmtId="164" fontId="14" fillId="2" borderId="0" pivotButton="0" quotePrefix="0" xfId="0"/>
    <xf numFmtId="4" fontId="14" fillId="2" borderId="0" pivotButton="0" quotePrefix="0" xfId="5"/>
    <xf numFmtId="3" fontId="14" fillId="0" borderId="2" pivotButton="0" quotePrefix="0" xfId="1"/>
    <xf numFmtId="3" fontId="14" fillId="0" borderId="0" pivotButton="0" quotePrefix="0" xfId="1"/>
    <xf numFmtId="3" fontId="14" fillId="0" borderId="5" pivotButton="0" quotePrefix="0" xfId="1"/>
    <xf numFmtId="3" fontId="32" fillId="0" borderId="0" pivotButton="0" quotePrefix="0" xfId="1"/>
    <xf numFmtId="3" fontId="14" fillId="0" borderId="3" pivotButton="0" quotePrefix="0" xfId="1"/>
    <xf numFmtId="1" fontId="14" fillId="0" borderId="0" pivotButton="0" quotePrefix="0" xfId="0"/>
    <xf numFmtId="3" fontId="14" fillId="0" borderId="0" pivotButton="0" quotePrefix="0" xfId="1"/>
    <xf numFmtId="3" fontId="14" fillId="0" borderId="2" pivotButton="0" quotePrefix="0" xfId="1"/>
    <xf numFmtId="3" fontId="32" fillId="0" borderId="0" pivotButton="0" quotePrefix="0" xfId="1"/>
    <xf numFmtId="3" fontId="14" fillId="0" borderId="0" pivotButton="0" quotePrefix="0" xfId="1"/>
    <xf numFmtId="3" fontId="1" fillId="2" borderId="0" pivotButton="0" quotePrefix="0" xfId="1"/>
    <xf numFmtId="0" fontId="0" fillId="0" borderId="0" pivotButton="0" quotePrefix="0" xfId="7"/>
    <xf numFmtId="49" fontId="32" fillId="0" borderId="0" applyAlignment="1" pivotButton="0" quotePrefix="0" xfId="6">
      <alignment horizontal="left"/>
    </xf>
    <xf numFmtId="0" fontId="38" fillId="0" borderId="0" pivotButton="0" quotePrefix="0" xfId="0"/>
    <xf numFmtId="0" fontId="39" fillId="0" borderId="0" pivotButton="0" quotePrefix="0" xfId="0"/>
    <xf numFmtId="0" fontId="37" fillId="0" borderId="0" applyAlignment="1" pivotButton="0" quotePrefix="0" xfId="0">
      <alignment horizontal="center"/>
    </xf>
    <xf numFmtId="15" fontId="40" fillId="0" borderId="0" applyAlignment="1" pivotButton="0" quotePrefix="0" xfId="0">
      <alignment horizontal="center"/>
    </xf>
    <xf numFmtId="0" fontId="40" fillId="0" borderId="0" pivotButton="0" quotePrefix="0" xfId="0"/>
    <xf numFmtId="15" fontId="39" fillId="0" borderId="0" applyAlignment="1" pivotButton="0" quotePrefix="0" xfId="0">
      <alignment horizontal="center"/>
    </xf>
    <xf numFmtId="15" fontId="41" fillId="0" borderId="0" applyAlignment="1" pivotButton="0" quotePrefix="0" xfId="0">
      <alignment horizontal="center"/>
    </xf>
    <xf numFmtId="0" fontId="41" fillId="0" borderId="0" pivotButton="0" quotePrefix="0" xfId="0"/>
    <xf numFmtId="0" fontId="42" fillId="0" borderId="0" applyAlignment="1" pivotButton="0" quotePrefix="0" xfId="0">
      <alignment horizontal="left" indent="4"/>
    </xf>
    <xf numFmtId="0" fontId="37" fillId="0" borderId="0" pivotButton="0" quotePrefix="0" xfId="0"/>
    <xf numFmtId="0" fontId="43" fillId="0" borderId="0" applyAlignment="1" pivotButton="0" quotePrefix="0" xfId="0">
      <alignment horizontal="center"/>
    </xf>
    <xf numFmtId="0" fontId="8" fillId="0" borderId="0" applyAlignment="1" pivotButton="0" quotePrefix="0" xfId="0">
      <alignment horizontal="center" vertical="top" wrapText="1"/>
    </xf>
    <xf numFmtId="0" fontId="13" fillId="0" borderId="11" applyAlignment="1" pivotButton="0" quotePrefix="0" xfId="0">
      <alignment horizontal="center" vertical="top" wrapText="1"/>
    </xf>
    <xf numFmtId="0" fontId="8" fillId="2" borderId="0" applyAlignment="1" pivotButton="0" quotePrefix="0" xfId="0">
      <alignment horizontal="center" vertical="top" wrapText="1"/>
    </xf>
    <xf numFmtId="0" fontId="13" fillId="0" borderId="10" applyAlignment="1" pivotButton="0" quotePrefix="0" xfId="0">
      <alignment horizontal="center" vertical="top" wrapText="1"/>
    </xf>
    <xf numFmtId="0" fontId="13" fillId="0" borderId="6" applyAlignment="1" pivotButton="0" quotePrefix="0" xfId="0">
      <alignment horizontal="center" vertical="top" wrapText="1"/>
    </xf>
    <xf numFmtId="0" fontId="40" fillId="0" borderId="0" applyAlignment="1" pivotButton="0" quotePrefix="0" xfId="0">
      <alignment horizontal="left"/>
    </xf>
    <xf numFmtId="169" fontId="45" fillId="0" borderId="0" pivotButton="0" quotePrefix="0" xfId="4"/>
    <xf numFmtId="49" fontId="4" fillId="0" borderId="0" applyAlignment="1" pivotButton="0" quotePrefix="0" xfId="6">
      <alignment horizontal="left" indent="3"/>
    </xf>
    <xf numFmtId="49" fontId="8" fillId="0" borderId="0" applyAlignment="1" pivotButton="0" quotePrefix="0" xfId="6">
      <alignment horizontal="left" indent="1"/>
    </xf>
    <xf numFmtId="49" fontId="0" fillId="0" borderId="0" applyAlignment="1" pivotButton="0" quotePrefix="0" xfId="6">
      <alignment horizontal="left" indent="3"/>
    </xf>
    <xf numFmtId="49" fontId="12" fillId="0" borderId="0" applyAlignment="1" pivotButton="0" quotePrefix="0" xfId="6">
      <alignment horizontal="left" indent="3"/>
    </xf>
    <xf numFmtId="0" fontId="37" fillId="0" borderId="0" applyAlignment="1" pivotButton="0" quotePrefix="0" xfId="0">
      <alignment horizontal="center"/>
    </xf>
    <xf numFmtId="0" fontId="13" fillId="0" borderId="9" applyAlignment="1" pivotButton="0" quotePrefix="0" xfId="0">
      <alignment horizontal="center"/>
    </xf>
    <xf numFmtId="0" fontId="33" fillId="0" borderId="0" pivotButton="0" quotePrefix="0" xfId="0"/>
    <xf numFmtId="0" fontId="32" fillId="0" borderId="0" applyAlignment="1" pivotButton="0" quotePrefix="0" xfId="0">
      <alignment horizontal="left" vertical="top" wrapText="1"/>
    </xf>
    <xf numFmtId="49" fontId="14" fillId="0" borderId="0" applyAlignment="1" pivotButton="0" quotePrefix="0" xfId="6">
      <alignment horizontal="left" wrapText="1"/>
    </xf>
    <xf numFmtId="0" fontId="32" fillId="0" borderId="0" applyAlignment="1" pivotButton="0" quotePrefix="0" xfId="0">
      <alignment wrapText="1"/>
    </xf>
    <xf numFmtId="0" fontId="14" fillId="0" borderId="0" applyAlignment="1" pivotButton="0" quotePrefix="0" xfId="0">
      <alignment wrapText="1"/>
    </xf>
    <xf numFmtId="0" fontId="14" fillId="0" borderId="0" applyAlignment="1" pivotButton="0" quotePrefix="0" xfId="0">
      <alignment horizontal="left" vertical="top" wrapText="1"/>
    </xf>
    <xf numFmtId="0" fontId="18" fillId="0" borderId="0" applyAlignment="1" pivotButton="0" quotePrefix="0" xfId="7">
      <alignment horizontal="center"/>
    </xf>
    <xf numFmtId="0" fontId="8" fillId="0" borderId="1" applyAlignment="1" pivotButton="0" quotePrefix="0" xfId="7">
      <alignment horizontal="center"/>
    </xf>
    <xf numFmtId="0" fontId="8" fillId="0" borderId="26" applyAlignment="1" pivotButton="0" quotePrefix="0" xfId="7">
      <alignment horizontal="center"/>
    </xf>
    <xf numFmtId="0" fontId="15" fillId="0" borderId="0" applyAlignment="1" pivotButton="0" quotePrefix="0" xfId="7">
      <alignment horizontal="right"/>
    </xf>
    <xf numFmtId="0" fontId="15" fillId="0" borderId="28" applyAlignment="1" pivotButton="0" quotePrefix="0" xfId="7">
      <alignment horizontal="right"/>
    </xf>
    <xf numFmtId="0" fontId="22" fillId="0" borderId="0" applyAlignment="1" pivotButton="0" quotePrefix="0" xfId="7">
      <alignment horizontal="center"/>
    </xf>
    <xf numFmtId="0" fontId="8" fillId="0" borderId="0" applyAlignment="1" pivotButton="0" quotePrefix="0" xfId="7">
      <alignment horizontal="right"/>
    </xf>
    <xf numFmtId="0" fontId="8" fillId="0" borderId="30" applyAlignment="1" pivotButton="0" quotePrefix="0" xfId="7">
      <alignment horizontal="right"/>
    </xf>
    <xf numFmtId="0" fontId="30" fillId="5" borderId="42" applyAlignment="1" pivotButton="0" quotePrefix="0" xfId="7">
      <alignment horizontal="center"/>
    </xf>
    <xf numFmtId="0" fontId="30" fillId="5" borderId="41" applyAlignment="1" pivotButton="0" quotePrefix="0" xfId="7">
      <alignment horizontal="center"/>
    </xf>
    <xf numFmtId="0" fontId="30" fillId="5" borderId="40" applyAlignment="1" pivotButton="0" quotePrefix="0" xfId="7">
      <alignment horizontal="center"/>
    </xf>
    <xf numFmtId="0" fontId="8" fillId="0" borderId="0" applyAlignment="1" pivotButton="0" quotePrefix="1" xfId="7">
      <alignment horizontal="right"/>
    </xf>
    <xf numFmtId="0" fontId="30" fillId="9" borderId="0" applyAlignment="1" pivotButton="0" quotePrefix="0" xfId="7">
      <alignment horizontal="center"/>
    </xf>
    <xf numFmtId="0" fontId="30" fillId="9" borderId="28" applyAlignment="1" pivotButton="0" quotePrefix="0" xfId="7">
      <alignment horizontal="center"/>
    </xf>
    <xf numFmtId="2" fontId="46" fillId="0" borderId="0" applyAlignment="1" pivotButton="0" quotePrefix="0" xfId="0">
      <alignment horizontal="left"/>
    </xf>
    <xf numFmtId="0" fontId="47" fillId="0" borderId="0" applyAlignment="1" pivotButton="0" quotePrefix="0" xfId="0">
      <alignment horizontal="center" vertical="top" wrapText="1"/>
    </xf>
    <xf numFmtId="0" fontId="47" fillId="2" borderId="0" applyAlignment="1" pivotButton="0" quotePrefix="0" xfId="0">
      <alignment horizontal="center" vertical="top" wrapText="1"/>
    </xf>
    <xf numFmtId="164" fontId="0" fillId="0" borderId="0" pivotButton="0" quotePrefix="0" xfId="1"/>
    <xf numFmtId="164" fontId="14" fillId="2" borderId="0" pivotButton="0" quotePrefix="0" xfId="0"/>
    <xf numFmtId="0" fontId="0" fillId="0" borderId="9" pivotButton="0" quotePrefix="0" xfId="0"/>
    <xf numFmtId="165" fontId="12" fillId="0" borderId="7" applyAlignment="1" pivotButton="0" quotePrefix="0" xfId="2">
      <alignment horizontal="center"/>
    </xf>
    <xf numFmtId="165" fontId="12" fillId="0" borderId="0" applyAlignment="1" pivotButton="0" quotePrefix="0" xfId="2">
      <alignment horizontal="center"/>
    </xf>
    <xf numFmtId="165" fontId="13" fillId="0" borderId="12" applyAlignment="1" pivotButton="0" quotePrefix="0" xfId="0">
      <alignment horizontal="center"/>
    </xf>
    <xf numFmtId="166" fontId="0" fillId="0" borderId="0" pivotButton="0" quotePrefix="0" xfId="0"/>
    <xf numFmtId="165" fontId="12" fillId="0" borderId="8" applyAlignment="1" pivotButton="0" quotePrefix="0" xfId="2">
      <alignment horizontal="center"/>
    </xf>
    <xf numFmtId="165" fontId="12" fillId="0" borderId="9" applyAlignment="1" pivotButton="0" quotePrefix="0" xfId="2">
      <alignment horizontal="center"/>
    </xf>
    <xf numFmtId="165" fontId="13" fillId="0" borderId="13" applyAlignment="1" pivotButton="0" quotePrefix="0" xfId="0">
      <alignment horizontal="center"/>
    </xf>
    <xf numFmtId="164" fontId="0" fillId="0" borderId="0" pivotButton="0" quotePrefix="0" xfId="0"/>
    <xf numFmtId="49" fontId="47" fillId="0" borderId="4" applyAlignment="1" pivotButton="0" quotePrefix="0" xfId="6">
      <alignment horizontal="left" indent="1"/>
    </xf>
    <xf numFmtId="49" fontId="48" fillId="0" borderId="4" applyAlignment="1" pivotButton="0" quotePrefix="0" xfId="6">
      <alignment horizontal="left" indent="1"/>
    </xf>
    <xf numFmtId="169" fontId="45" fillId="0" borderId="0" pivotButton="0" quotePrefix="0" xfId="4"/>
    <xf numFmtId="0" fontId="0" fillId="0" borderId="28" pivotButton="0" quotePrefix="0" xfId="0"/>
    <xf numFmtId="165" fontId="16" fillId="4" borderId="15" pivotButton="0" quotePrefix="0" xfId="8"/>
    <xf numFmtId="165" fontId="15" fillId="0" borderId="0" pivotButton="0" quotePrefix="0" xfId="7"/>
    <xf numFmtId="165" fontId="15" fillId="0" borderId="0" pivotButton="0" quotePrefix="0" xfId="8"/>
    <xf numFmtId="165" fontId="0" fillId="0" borderId="0" pivotButton="0" quotePrefix="0" xfId="8"/>
    <xf numFmtId="0" fontId="0" fillId="0" borderId="1" pivotButton="0" quotePrefix="0" xfId="0"/>
    <xf numFmtId="0" fontId="0" fillId="0" borderId="26" pivotButton="0" quotePrefix="0" xfId="0"/>
    <xf numFmtId="167" fontId="16" fillId="4" borderId="15" pivotButton="0" quotePrefix="0" xfId="7"/>
    <xf numFmtId="167" fontId="8" fillId="0" borderId="0" pivotButton="0" quotePrefix="0" xfId="7"/>
    <xf numFmtId="167" fontId="15" fillId="0" borderId="0" pivotButton="0" quotePrefix="0" xfId="7"/>
    <xf numFmtId="168" fontId="15" fillId="0" borderId="0" pivotButton="0" quotePrefix="0" xfId="7"/>
    <xf numFmtId="0" fontId="30" fillId="5" borderId="15" applyAlignment="1" pivotButton="0" quotePrefix="0" xfId="7">
      <alignment horizontal="center"/>
    </xf>
    <xf numFmtId="0" fontId="0" fillId="0" borderId="41" pivotButton="0" quotePrefix="0" xfId="0"/>
    <xf numFmtId="0" fontId="0" fillId="0" borderId="40" pivotButton="0" quotePrefix="0" xfId="0"/>
    <xf numFmtId="168" fontId="24" fillId="8" borderId="0" pivotButton="0" quotePrefix="0" xfId="7"/>
    <xf numFmtId="168" fontId="24" fillId="8" borderId="30" pivotButton="0" quotePrefix="0" xfId="7"/>
    <xf numFmtId="164" fontId="24" fillId="8" borderId="21" pivotButton="0" quotePrefix="0" xfId="9"/>
    <xf numFmtId="164" fontId="24" fillId="8" borderId="33" pivotButton="0" quotePrefix="0" xfId="9"/>
    <xf numFmtId="168" fontId="15" fillId="0" borderId="21" pivotButton="0" quotePrefix="0" xfId="7"/>
    <xf numFmtId="164" fontId="24" fillId="8" borderId="0" pivotButton="0" quotePrefix="0" xfId="9"/>
    <xf numFmtId="168" fontId="26" fillId="8" borderId="36" pivotButton="0" quotePrefix="0" xfId="7"/>
    <xf numFmtId="168" fontId="26" fillId="8" borderId="37" pivotButton="0" quotePrefix="0" xfId="7"/>
    <xf numFmtId="168" fontId="8" fillId="0" borderId="36" pivotButton="0" quotePrefix="0" xfId="7"/>
    <xf numFmtId="164" fontId="0" fillId="0" borderId="38" pivotButton="0" quotePrefix="0" xfId="9"/>
    <xf numFmtId="164" fontId="24" fillId="8" borderId="38" pivotButton="0" quotePrefix="0" xfId="9"/>
    <xf numFmtId="164" fontId="24" fillId="8" borderId="39" pivotButton="0" quotePrefix="0" xfId="9"/>
    <xf numFmtId="164" fontId="0" fillId="0" borderId="21" pivotButton="0" quotePrefix="0" xfId="9"/>
    <xf numFmtId="164" fontId="24" fillId="8" borderId="30" pivotButton="0" quotePrefix="0" xfId="9"/>
    <xf numFmtId="164" fontId="0" fillId="0" borderId="0" pivotButton="0" quotePrefix="0" xfId="9"/>
    <xf numFmtId="168" fontId="26" fillId="8" borderId="31" pivotButton="0" quotePrefix="0" xfId="7"/>
    <xf numFmtId="168" fontId="26" fillId="8" borderId="32" pivotButton="0" quotePrefix="0" xfId="7"/>
    <xf numFmtId="168" fontId="8" fillId="0" borderId="31" pivotButton="0" quotePrefix="0" xfId="7"/>
    <xf numFmtId="168" fontId="8" fillId="0" borderId="0" pivotButton="0" quotePrefix="0" xfId="7"/>
    <xf numFmtId="164" fontId="8" fillId="0" borderId="0" pivotButton="0" quotePrefix="0" xfId="9"/>
    <xf numFmtId="168" fontId="8" fillId="0" borderId="2" pivotButton="0" quotePrefix="0" xfId="7"/>
    <xf numFmtId="164" fontId="8" fillId="0" borderId="2" pivotButton="0" quotePrefix="0" xfId="7"/>
    <xf numFmtId="0" fontId="0" fillId="0" borderId="30" pivotButton="0" quotePrefix="0" xfId="0"/>
    <xf numFmtId="167" fontId="8" fillId="0" borderId="29" pivotButton="0" quotePrefix="0" xfId="7"/>
    <xf numFmtId="165" fontId="25" fillId="0" borderId="21" pivotButton="0" quotePrefix="0" xfId="8"/>
  </cellXfs>
  <cellStyles count="10">
    <cellStyle name="Normal" xfId="0" builtinId="0"/>
    <cellStyle name="Comma" xfId="1" builtinId="3"/>
    <cellStyle name="Percent" xfId="2" builtinId="5"/>
    <cellStyle name="Normal 2" xfId="3"/>
    <cellStyle name="Normal 3" xfId="4"/>
    <cellStyle name="Currency" xfId="5" builtinId="4"/>
    <cellStyle name="Background" xfId="6"/>
    <cellStyle name="Normal 4" xfId="7"/>
    <cellStyle name="Percent 2" xfId="8"/>
    <cellStyle name="Comma 2" xfId="9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omments/comment1.xml><?xml version="1.0" encoding="utf-8"?>
<comments xmlns="http://schemas.openxmlformats.org/spreadsheetml/2006/main">
  <authors>
    <author>Aw, Edward N. W.</author>
  </authors>
  <commentList>
    <comment ref="A1" authorId="0" shapeId="0">
      <text>
        <t>&lt;?xml version="1.0" encoding="utf-8"?&gt;&lt;Schema xmlns:xsi="http://www.w3.org/2001/XMLSchema-instance" xmlns:xsd="http://www.w3.org/2001/XMLSchema" Version="2" Timestamp="1632852665"&gt;&lt;FQL&gt;&lt;Q&gt;GE-US^LIF(SWP_GET_LANGUAGE_QUICK=="JP",PROPER(CONVERT_DATE(FF_FP_END_DATE(ANN,-9,0,Y,RP),"M/DD/YYYY")),PROPER(CONVERT_DATE(FF_FP_END_DATE(ANN,-9,0,Y,RP),"MMM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'20&lt;/D&gt;&lt;/FQL&gt;&lt;FQL&gt;&lt;Q&gt;GE-US^P(-9,0,Y) // FF_EPS(ANN_R,-9,0,Y,RP)&lt;/Q&gt;&lt;R&gt;10&lt;/R&gt;&lt;C&gt;1&lt;/C&gt;&lt;D xsi:type="xsd:double"&gt;14.5456022090473&lt;/D&gt;&lt;D xsi:type="xsd:double"&gt;15.5955122966045&lt;/D&gt;&lt;D xsi:type="xsd:double"&gt;19.4747446675467&lt;/D&gt;&lt;D xsi:type="xsd:double"&gt;16.8320788649837&lt;/D&gt;&lt;D xsi:type="xsd:double"&gt;214.23658872077&lt;/D&gt;&lt;D xsi:type="xsd:double"&gt;30.6617504366389&lt;/D&gt;&lt;D xsi:type="xsd:string"&gt;@NA&lt;/D&gt;&lt;D xsi:type="xsd:string"&gt;@NA&lt;/D&gt;&lt;D xsi:type="xsd:double"&gt;413.333333333333&lt;/D&gt;&lt;D xsi:type="xsd:double"&gt;18.5598900154666&lt;/D&gt;&lt;/FQL&gt;&lt;FQL&gt;&lt;Q&gt;GE-US^P(-9,0,Y) // FF_SALES_PS(ANN_R,-9,0,Y,RP)&lt;/Q&gt;&lt;R&gt;10&lt;/R&gt;&lt;C&gt;1&lt;/C&gt;&lt;D xsi:type="xsd:double"&gt;1.33363389683146&lt;/D&gt;&lt;D xsi:type="xsd:double"&gt;1.53024319549495&lt;/D&gt;&lt;D xsi:type="xsd:double"&gt;2.02092868604904&lt;/D&gt;&lt;D xsi:type="xsd:double"&gt;2.18615205148146&lt;/D&gt;&lt;D xsi:type="xsd:double"&gt;2.69159046205873&lt;/D&gt;&lt;D xsi:type="xsd:double"&gt;2.40686082306518&lt;/D&gt;&lt;D xsi:type="xsd:double"&gt;1.282005277268&lt;/D&gt;&lt;D xsi:type="xsd:double"&gt;0.668334721657863&lt;/D&gt;&lt;D xsi:type="xsd:double"&gt;1.02424743569512&lt;/D&gt;&lt;D xsi:type="xsd:double"&gt;1.18431902669821&lt;/D&gt;&lt;/FQL&gt;&lt;FQL&gt;&lt;Q&gt;GE-US^P(-9,0,Y) // FF_BPS(ANN_R,-9,0,Y,RP)&lt;/Q&gt;&lt;R&gt;10&lt;/R&gt;&lt;C&gt;1&lt;/C&gt;&lt;D xsi:type="xsd:double"&gt;1.62629679235432&lt;/D&gt;&lt;D xsi:type="xsd:double"&gt;1.7753486204467&lt;/D&gt;&lt;D xsi:type="xsd:double"&gt;2.15987714205796&lt;/D&gt;&lt;D xsi:type="xsd:double"&gt;1.98308375409448&lt;/D&gt;&lt;D xsi:type="xsd:double"&gt;2.97314245408809&lt;/D&gt;&lt;D xsi:type="xsd:double"&gt;3.64362152919106&lt;/D&gt;&lt;D xsi:type="xsd:double"&gt;2.70377055911496&lt;/D&gt;&lt;D xsi:type="xsd:double"&gt;2.12674501254414&lt;/D&gt;&lt;D xsi:type="xsd:double"&gt;3.44475277108136&lt;/D&gt;&lt;D xsi:type="xsd:double"&gt;2.6632340538861&lt;/D&gt;&lt;/FQL&gt;&lt;FQL&gt;&lt;Q&gt;GE-US^P(-9,0,Y) // FF_OPER_PS_NET_CF(ANN_R,-9,0,Y,RP)&lt;/Q&gt;&lt;R&gt;10&lt;/R&gt;&lt;C&gt;1&lt;/C&gt;&lt;D xsi:type="xsd:double"&gt;5.70173566353907&lt;/D&gt;&lt;D xsi:type="xsd:double"&gt;7.07728320194057&lt;/D&gt;&lt;D xsi:type="xsd:double"&gt;10.0913492424508&lt;/D&gt;&lt;D xsi:type="xsd:double"&gt;9.23195387780144&lt;/D&gt;&lt;D xsi:type="xsd:double"&gt;15.6854054597557&lt;/D&gt;&lt;D xsi:type="xsd:string"&gt;@NA&lt;/D&gt;&lt;D xsi:type="xsd:double"&gt;25.1306614721485&lt;/D&gt;&lt;D xsi:type="xsd:double"&gt;13.2163258336681&lt;/D&gt;&lt;D xsi:type="xsd:double"&gt;11.0989329685363&lt;/D&gt;&lt;D xsi:type="xsd:double"&gt;26.3049207673061&lt;/D&gt;&lt;/FQL&gt;&lt;FQL&gt;&lt;Q&gt;GE-US^CE_FF_ENTRPR_VAL(-9,0,Y,"0D") // FF_EBIT_OPER(ANN_R,-9,0,Y,RP)&lt;/Q&gt;&lt;R&gt;10&lt;/R&gt;&lt;C&gt;1&lt;/C&gt;&lt;D xsi:type="xsd:double"&gt;17.9251864536987&lt;/D&gt;&lt;D xsi:type="xsd:double"&gt;20.078156810774&lt;/D&gt;&lt;D xsi:type="xsd:double"&gt;24.5154823509613&lt;/D&gt;&lt;D xsi:type="xsd:double"&gt;40.5426847662142&lt;/D&gt;&lt;D xsi:type="xsd:double"&gt;34.9773404693289&lt;/D&gt;&lt;D xsi:type="xsd:double"&gt;26.4755455915058&lt;/D&gt;&lt;D xsi:type="xsd:double"&gt;487.79292051756&lt;/D&gt;&lt;D xsi:type="xsd:double"&gt;15.4398796906331&lt;/D&gt;&lt;D xsi:type="xsd:double"&gt;17.9838539878705&lt;/D&gt;&lt;D xsi:type="xsd:double"&gt;42.8465632146357&lt;/D&gt;&lt;/FQL&gt;&lt;FQL&gt;&lt;Q&gt;GE-US^CE_FF_ENTRPR_VAL(-9,0,Y,"0D") // FF_EBITDA_OPER(ANN_R,-9,0,Y,RP)&lt;/Q&gt;&lt;R&gt;10&lt;/R&gt;&lt;C&gt;1&lt;/C&gt;&lt;D xsi:type="xsd:double"&gt;13.2833803785758&lt;/D&gt;&lt;D xsi:type="xsd:double"&gt;14.4177484567901&lt;/D&gt;&lt;D xsi:type="xsd:double"&gt;16.5344900970433&lt;/D&gt;&lt;D xsi:type="xsd:double"&gt;27.3154819368935&lt;/D&gt;&lt;D xsi:type="xsd:double"&gt;22.7835773665862&lt;/D&gt;&lt;D xsi:type="xsd:double"&gt;17.7672057195128&lt;/D&gt;&lt;D xsi:type="xsd:double"&gt;33.1111631116688&lt;/D&gt;&lt;D xsi:type="xsd:double"&gt;9.48119964819701&lt;/D&gt;&lt;D xsi:type="xsd:double"&gt;10.9642039905121&lt;/D&gt;&lt;D xsi:type="xsd:double"&gt;14.4457902852737&lt;/D&gt;&lt;/FQL&gt;&lt;FQL&gt;&lt;Q&gt;GE-US^CE_FF_ENTRPR_VAL(-9,0,Y,"0D") // FF_SALES(ANN_R,-9,0,Y,RP)&lt;/Q&gt;&lt;R&gt;10&lt;/R&gt;&lt;C&gt;1&lt;/C&gt;&lt;D xsi:type="xsd:double"&gt;3.92649574747057&lt;/D&gt;&lt;D xsi:type="xsd:double"&gt;3.86850645944901&lt;/D&gt;&lt;D xsi:type="xsd:double"&gt;4.08325099679763&lt;/D&gt;&lt;D xsi:type="xsd:double"&gt;4.59432712604582&lt;/D&gt;&lt;D xsi:type="xsd:double"&gt;3.66472100486559&lt;/D&gt;&lt;D xsi:type="xsd:double"&gt;3.07871618183183&lt;/D&gt;&lt;D xsi:type="xsd:double"&gt;2.23181050886733&lt;/D&gt;&lt;D xsi:type="xsd:double"&gt;1.64264384396587&lt;/D&gt;&lt;D xsi:type="xsd:double"&gt;1.65336805007627&lt;/D&gt;&lt;D xsi:type="xsd:double"&gt;1.64161228142641&lt;/D&gt;&lt;/FQL&gt;&lt;FQL&gt;&lt;Q&gt;GE-US^FF_DEBT(ANN_R,-9,0,Y,RP) // CE_FF_ENTRPR_VAL(-9,0,Y,"0D")&lt;/Q&gt;&lt;R&gt;10&lt;/R&gt;&lt;C&gt;1&lt;/C&gt;&lt;D xsi:type="xsd:double"&gt;0.809718558412645&lt;/D&gt;&lt;D xsi:type="xsd:double"&gt;0.738651488472124&lt;/D&gt;&lt;D xsi:type="xsd:double"&gt;0.65734410944752&lt;/D&gt;&lt;D xsi:type="xsd:double"&gt;0.486283380084673&lt;/D&gt;&lt;D xsi:type="xsd:double"&gt;0.465165002431734&lt;/D&gt;&lt;D xsi:type="xsd:double"&gt;0.369092860626969&lt;/D&gt;&lt;D xsi:type="xsd:double"&gt;0.510015367040277&lt;/D&gt;&lt;D xsi:type="xsd:double"&gt;0.640685271029041&lt;/D&gt;&lt;D xsi:type="xsd:double"&gt;0.601224604847643&lt;/D&gt;&lt;D xsi:type="xsd:double"&gt;0.597926106794239&lt;/D&gt;&lt;/FQL&gt;&lt;FQL&gt;&lt;Q&gt;GE-US^FF_EPS_DIL_BEF_UNUSUAL(ANN_R,-9,0,Y,RP)&lt;/Q&gt;&lt;R&gt;10&lt;/R&gt;&lt;C&gt;1&lt;/C&gt;&lt;D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xsi:type="xsd:double"&gt;0.5819&lt;/D&gt;&lt;/FQL&gt;&lt;FQL&gt;&lt;Q&gt;GE-US^FF_DPS(ANN_R,-9,0,Y,RP)&lt;/Q&gt;&lt;R&gt;10&lt;/R&gt;&lt;C&gt;1&lt;/C&gt;&lt;D xsi:type="xsd:double"&gt;0.61&lt;/D&gt;&lt;D xsi:type="xsd:double"&gt;0.7&lt;/D&gt;&lt;D xsi:type="xsd:double"&gt;0.79&lt;/D&gt;&lt;D xsi:type="xsd:double"&gt;0.89&lt;/D&gt;&lt;D xsi:type="xsd:double"&gt;0.92&lt;/D&gt;&lt;D xsi:type="xsd:double"&gt;0.93&lt;/D&gt;&lt;D xsi:type="xsd:double"&gt;0.84&lt;/D&gt;&lt;D xsi:type="xsd:double"&gt;0.37&lt;/D&gt;&lt;D xsi:type="xsd:double"&gt;0.04&lt;/D&gt;&lt;D xsi:type="xsd:double"&gt;0.04&lt;/D&gt;&lt;/FQL&gt;&lt;FQL&gt;&lt;Q&gt;GE-US^100*(FF_DPS(ANN_R,-9,0,Y,RP)//P(-9,0,Y,RP))&lt;/Q&gt;&lt;R&gt;10&lt;/R&gt;&lt;C&gt;1&lt;/C&gt;&lt;D xsi:type="xsd:double"&gt;3.40591848129537&lt;/D&gt;&lt;D xsi:type="xsd:double"&gt;3.33492139113864&lt;/D&gt;&lt;D xsi:type="xsd:double"&gt;2.81840884766322&lt;/D&gt;&lt;D xsi:type="xsd:double"&gt;3.5219628017412&lt;/D&gt;&lt;D xsi:type="xsd:double"&gt;2.95345104333868&lt;/D&gt;&lt;D xsi:type="xsd:double"&gt;2.94303797468354&lt;/D&gt;&lt;D xsi:type="xsd:double"&gt;4.81375358166189&lt;/D&gt;&lt;D xsi:type="xsd:double"&gt;4.88771466314399&lt;/D&gt;&lt;D xsi:type="xsd:double"&gt;0.3584229390681&lt;/D&gt;&lt;D xsi:type="xsd:double"&gt;0.37037037037037&lt;/D&gt;&lt;/FQL&gt;&lt;FQL&gt;&lt;Q&gt;GE-US^FF_PAY_OUT_RATIO(ANN_R,-9,0,Y,RP)&lt;/Q&gt;&lt;R&gt;10&lt;/R&gt;&lt;C&gt;1&lt;/C&gt;&lt;D xsi:type="xsd:double"&gt;49.5411353853651&lt;/D&gt;&lt;D xsi:type="xsd:double"&gt;52.009807563712&lt;/D&gt;&lt;D xsi:type="xsd:double"&gt;54.8877926769958&lt;/D&gt;&lt;D xsi:type="xsd:double"&gt;59.2819556384467&lt;/D&gt;&lt;D xsi:type="xsd:double"&gt;632.73727647868&lt;/D&gt;&lt;D xsi:type="xsd:double"&gt;90.2386959052979&lt;/D&gt;&lt;D xsi:type="xsd:string"&gt;@NA&lt;/D&gt;&lt;D xsi:type="xsd:string"&gt;@NA&lt;/D&gt;&lt;D xsi:type="xsd:double"&gt;148.148148148148&lt;/D&gt;&lt;D xsi:type="xsd:double"&gt;6.87403333906169&lt;/D&gt;&lt;/FQL&gt;&lt;FQL&gt;&lt;Q&gt;GE-US^FF_GROSS_MGN(ANN_R,-9,0,Y,RP)&lt;/Q&gt;&lt;R&gt;10&lt;/R&gt;&lt;C&gt;1&lt;/C&gt;&lt;D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xsi:type="xsd:double"&gt;25.0359856307812&lt;/D&gt;&lt;/FQL&gt;&lt;FQL&gt;&lt;Q&gt;GE-US^FF_SGA_SALES(ANN_R,-9,0,Y,RP)&lt;/Q&gt;&lt;R&gt;10&lt;/R&gt;&lt;C&gt;1&lt;/C&gt;&lt;D xsi:type="xsd:double"&gt;31.4056134790809&lt;/D&gt;&lt;D xsi:type="xsd:double"&gt;30.5981891459173&lt;/D&gt;&lt;D xsi:type="xsd:double"&gt;30.7420098523548&lt;/D&gt;&lt;D xsi:type="xsd:double"&gt;18.0159469460658&lt;/D&gt;&lt;D xsi:type="xsd:double"&gt;18.1855826633079&lt;/D&gt;&lt;D xsi:type="xsd:double"&gt;18.319165088555&lt;/D&gt;&lt;D xsi:type="xsd:double"&gt;17.5122417394687&lt;/D&gt;&lt;D xsi:type="xsd:double"&gt;16.1814303128809&lt;/D&gt;&lt;D xsi:type="xsd:double"&gt;16.8113197622429&lt;/D&gt;&lt;D xsi:type="xsd:double"&gt;17.7237054560475&lt;/D&gt;&lt;/FQL&gt;&lt;FQL&gt;&lt;Q&gt;GE-US^FF_OPER_MGN(ANN_R,-9,0,Y,RP)&lt;/Q&gt;&lt;R&gt;10&lt;/R&gt;&lt;C&gt;1&lt;/C&gt;&lt;D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xsi:type="xsd:double"&gt;3.83137446334472&lt;/D&gt;&lt;/FQL&gt;&lt;FQL&gt;&lt;Q&gt;GE-US^FF_PTX_MGN(ANN_R,-9,0,Y,RP)&lt;/Q&gt;&lt;R&gt;10&lt;/R&gt;&lt;C&gt;1&lt;/C&gt;&lt;D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xsi:type="xsd:double"&gt;6.50495037112137&lt;/D&gt;&lt;/FQL&gt;&lt;FQL&gt;&lt;Q&gt;GE-US^FF_NET_MGN(ANN_R,-9,0,Y,RP)&lt;/Q&gt;&lt;R&gt;10&lt;/R&gt;&lt;C&gt;1&lt;/C&gt;&lt;D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xsi:type="xsd:double"&gt;7.09073385653311&lt;/D&gt;&lt;/FQL&gt;&lt;FQL&gt;&lt;Q&gt;GE-US^FF_ROA(ANN_R,-9,0,Y,RP)&lt;/Q&gt;&lt;R&gt;10&lt;/R&gt;&lt;C&gt;1&lt;/C&gt;&lt;D xsi:type="xsd:double"&gt;1.84045624348355&lt;/D&gt;&lt;D xsi:type="xsd:double"&gt;2.00083538767721&lt;/D&gt;&lt;D xsi:type="xsd:double"&gt;2.16197556294315&lt;/D&gt;&lt;D xsi:type="xsd:double"&gt;1.39854798373918&lt;/D&gt;&lt;D xsi:type="xsd:double"&gt;0.281564883254608&lt;/D&gt;&lt;D xsi:type="xsd:double"&gt;2.1596180820761&lt;/D&gt;&lt;D xsi:type="xsd:double"&gt;-2.11872089348895&lt;/D&gt;&lt;D xsi:type="xsd:double"&gt;-5.97781742737407&lt;/D&gt;&lt;D xsi:type="xsd:double"&gt;0.141901064940204&lt;/D&gt;&lt;D xsi:type="xsd:double"&gt;2.17163798622265&lt;/D&gt;&lt;/FQL&gt;&lt;FQL&gt;&lt;Q&gt;GE-US^FF_ROE(ANN_R,-9,0,Y,RP)&lt;/Q&gt;&lt;R&gt;10&lt;/R&gt;&lt;C&gt;1&lt;/C&gt;&lt;D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xsi:type="xsd:double"&gt;17.7397131583892&lt;/D&gt;&lt;/FQL&gt;&lt;FQL&gt;&lt;Q&gt;GE-US^FF_ROTC(ANN_R,-9,0,Y,RP)&lt;/Q&gt;&lt;R&gt;10&lt;/R&gt;&lt;C&gt;1&lt;/C&gt;&lt;D xsi:type="xsd:double"&gt;5.32026583447929&lt;/D&gt;&lt;D xsi:type="xsd:double"&gt;5.01190639678236&lt;/D&gt;&lt;D xsi:type="xsd:double"&gt;4.47478380538296&lt;/D&gt;&lt;D xsi:type="xsd:double"&gt;2.88832884255558&lt;/D&gt;&lt;D xsi:type="xsd:double"&gt;3.47463118699638&lt;/D&gt;&lt;D xsi:type="xsd:double"&gt;5.38768821059101&lt;/D&gt;&lt;D xsi:type="xsd:double"&gt;0.252681530194509&lt;/D&gt;&lt;D xsi:type="xsd:double"&gt;5.70830574019115&lt;/D&gt;&lt;D xsi:type="xsd:double"&gt;6.23661899460478&lt;/D&gt;&lt;D xsi:type="xsd:double"&gt;2.54267558250613&lt;/D&gt;&lt;/FQL&gt;&lt;FQL&gt;&lt;Q&gt;GE-US^FF_ROIC(ANN_R,-9,0,Y,RP)&lt;/Q&gt;&lt;R&gt;10&lt;/R&gt;&lt;C&gt;1&lt;/C&gt;&lt;D xsi:type="xsd:double"&gt;3.15513869272034&lt;/D&gt;&lt;D xsi:type="xsd:double"&gt;3.45644369248545&lt;/D&gt;&lt;D xsi:type="xsd:double"&gt;3.55245948517933&lt;/D&gt;&lt;D xsi:type="xsd:double"&gt;2.55313899872222&lt;/D&gt;&lt;D xsi:type="xsd:double"&gt;0.593799431679447&lt;/D&gt;&lt;D xsi:type="xsd:double"&gt;4.57199285816245&lt;/D&gt;&lt;D xsi:type="xsd:double"&gt;-4.70236555431002&lt;/D&gt;&lt;D xsi:type="xsd:double"&gt;-14.5566767224938&lt;/D&gt;&lt;D xsi:type="xsd:double"&gt;0.376523403735366&lt;/D&gt;&lt;D xsi:type="xsd:double"&gt;5.43775616966951&lt;/D&gt;&lt;/FQL&gt;&lt;FQL&gt;&lt;Q&gt;GE-US^FF_CF_ROIC(ANN_R,-9,0,Y,RP)&lt;/Q&gt;&lt;R&gt;10&lt;/R&gt;&lt;C&gt;1&lt;/C&gt;&lt;D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xsi:type="xsd:double"&gt;3.45271119899404&lt;/D&gt;&lt;/FQL&gt;&lt;FQL&gt;&lt;Q&gt;GE-US^((FF_NET_MGN(ANN_R,-9,0,Y,RP))*(FF_ASSET_TURN(ANN_R,-9,0,Y,RP))*(FF_AVG_ASSETS(ANN_R,-9,0,Y,RP)/FF_AVG_SHLDRS_EQ(ANN_R,-9,0,Y,RP)))&lt;/Q&gt;&lt;R&gt;10&lt;/R&gt;&lt;C&gt;1&lt;/C&gt;&lt;D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xsi:type="xsd:double"&gt;17.7397131583892&lt;/D&gt;&lt;/FQL&gt;&lt;FQL&gt;&lt;Q&gt;GE-US^FF_ASSET_TURN(ANN_R,-9,0,Y,RP)&lt;/Q&gt;&lt;R&gt;10&lt;/R&gt;&lt;C&gt;1&lt;/C&gt;&lt;D xsi:type="xsd:double"&gt;0.186810696677722&lt;/D&gt;&lt;D xsi:type="xsd:double"&gt;0.197795777743197&lt;/D&gt;&lt;D xsi:type="xsd:double"&gt;0.20356891439755&lt;/D&gt;&lt;D xsi:type="xsd:double"&gt;0.171881414999761&lt;/D&gt;&lt;D xsi:type="xsd:double"&gt;0.194504618637313&lt;/D&gt;&lt;D xsi:type="xsd:double"&gt;0.264992588678862&lt;/D&gt;&lt;D xsi:type="xsd:double"&gt;0.306263954289503&lt;/D&gt;&lt;D xsi:type="xsd:double"&gt;0.280350808742594&lt;/D&gt;&lt;D xsi:type="xsd:double"&gt;0.324240522305074&lt;/D&gt;&lt;D xsi:type="xsd:double"&gt;0.306264207649226&lt;/D&gt;&lt;/FQL&gt;&lt;FQL&gt;&lt;Q&gt;GE-US^FF_AVG_ASSETS(ANN_R,-9,0,Y,RP)/FF_AVG_SHLDRS_EQ(ANN_R,-9,0,Y,RP)&lt;/Q&gt;&lt;R&gt;10&lt;/R&gt;&lt;C&gt;1&lt;/C&gt;&lt;D xsi:type="xsd:double"&gt;6.48713961610033&lt;/D&gt;&lt;D xsi:type="xsd:double"&gt;6.1186149066248&lt;/D&gt;&lt;D xsi:type="xsd:double"&gt;5.52876668033692&lt;/D&gt;&lt;D xsi:type="xsd:double"&gt;5.26255676876993&lt;/D&gt;&lt;D xsi:type="xsd:double"&gt;5.26385288363445&lt;/D&gt;&lt;D xsi:type="xsd:double"&gt;5.19636190279262&lt;/D&gt;&lt;D xsi:type="xsd:double"&gt;5.85602693806974&lt;/D&gt;&lt;D xsi:type="xsd:double"&gt;8.07096803852387&lt;/D&gt;&lt;D xsi:type="xsd:double"&gt;9.88792013086665&lt;/D&gt;&lt;D xsi:type="xsd:double"&gt;8.16881693492829&lt;/D&gt;&lt;/FQL&gt;&lt;FQL&gt;&lt;Q&gt;GE-US^(FF_PTX_INC(ANN_R,-9,0,Y,RP)/FF_OPER_INC(ANN_R,-9,0,Y,RP))&lt;/Q&gt;&lt;R&gt;10&lt;/R&gt;&lt;C&gt;1&lt;/C&gt;&lt;D xsi:type="xsd:double"&gt;0.64332127652764&lt;/D&gt;&lt;D xsi:type="xsd:double"&gt;0.623446398509975&lt;/D&gt;&lt;D xsi:type="xsd:double"&gt;0.679498506457991&lt;/D&gt;&lt;D xsi:type="xsd:double"&gt;0.773981900452489&lt;/D&gt;&lt;D xsi:type="xsd:double"&gt;0.674022231370935&lt;/D&gt;&lt;D xsi:type="xsd:double"&gt;0.647822655857666&lt;/D&gt;&lt;D xsi:type="xsd:double"&gt;-20.6118299445471&lt;/D&gt;&lt;D xsi:type="xsd:double"&gt;-2.00391482860689&lt;/D&gt;&lt;D xsi:type="xsd:double"&gt;0.131479574322005&lt;/D&gt;&lt;D xsi:type="xsd:double"&gt;1.69781117281934&lt;/D&gt;&lt;/FQL&gt;&lt;FQL&gt;&lt;Q&gt;GE-US^FF_NET_INC(ANN_R,-9,0,Y,RP)/FF_PTX_INC(ANN_R,-9,0,Y,RP)&lt;/Q&gt;&lt;R&gt;10&lt;/R&gt;&lt;C&gt;1&lt;/C&gt;&lt;D xsi:type="xsd:double"&gt;0.699124290974226&lt;/D&gt;&lt;D xsi:type="xsd:double"&gt;0.842123405722165&lt;/D&gt;&lt;D xsi:type="xsd:double"&gt;0.938393907497988&lt;/D&gt;&lt;D xsi:type="xsd:double"&gt;0.927701451817207&lt;/D&gt;&lt;D xsi:type="xsd:double"&gt;0.20498411922795&lt;/D&gt;&lt;D xsi:type="xsd:double"&gt;1.08183831672204&lt;/D&gt;&lt;D xsi:type="xsd:double"&gt;0.733566496278361&lt;/D&gt;&lt;D xsi:type="xsd:double"&gt;1.00014294563301&lt;/D&gt;&lt;D xsi:type="xsd:double"&gt;0.362053959965187&lt;/D&gt;&lt;D xsi:type="xsd:double"&gt;1.09005195304984&lt;/D&gt;&lt;/FQL&gt;&lt;FQL&gt;&lt;Q&gt;GE-US^FF_SALES_PER_EMP(ANN_R,-9,0,Y,RP)&lt;/Q&gt;&lt;R&gt;10&lt;/R&gt;&lt;C&gt;1&lt;/C&gt;&lt;D xsi:type="xsd:double"&gt;0.473823920265781&lt;/D&gt;&lt;D xsi:type="xsd:double"&gt;0.475095081967213&lt;/D&gt;&lt;D xsi:type="xsd:double"&gt;0.464843648208469&lt;/D&gt;&lt;D xsi:type="xsd:string"&gt;@NA&lt;/D&gt;&lt;D xsi:type="xsd:string"&gt;@NA&lt;/D&gt;&lt;D xsi:type="xsd:double"&gt;0.406335593220339&lt;/D&gt;&lt;D xsi:type="xsd:double"&gt;0.377773162939297&lt;/D&gt;&lt;D xsi:type="xsd:double"&gt;0.347844522968198&lt;/D&gt;&lt;D xsi:type="xsd:double"&gt;0.463682926829268&lt;/D&gt;&lt;D xsi:type="xsd:double"&gt;0.459155172413793&lt;/D&gt;&lt;/FQL&gt;&lt;FQL&gt;&lt;Q&gt;GE-US^FF_NET_INC(ANN_R,-9,0,Y,RP)/FF_EMP_NUM(ANN_R,-9,0,Y,RP)&lt;/Q&gt;&lt;R&gt;10&lt;/R&gt;&lt;C&gt;1&lt;/C&gt;&lt;D xsi:type="xsd:double"&gt;0.0466810631229236&lt;/D&gt;&lt;D xsi:type="xsd:double"&gt;0.0480590163934426&lt;/D&gt;&lt;D xsi:type="xsd:double"&gt;0.0493680781758958&lt;/D&gt;&lt;D xsi:type="xsd:string"&gt;@NA&lt;/D&gt;&lt;D xsi:type="xsd:string"&gt;@NA&lt;/D&gt;&lt;D xsi:type="xsd:double"&gt;0.0331152542372881&lt;/D&gt;&lt;D xsi:type="xsd:double"&gt;-0.0261341853035144&lt;/D&gt;&lt;D xsi:type="xsd:double"&gt;-0.0741696113074205&lt;/D&gt;&lt;D xsi:type="xsd:double"&gt;0.00202926829268293&lt;/D&gt;&lt;D xsi:type="xsd:double"&gt;0.0325574712643678&lt;/D&gt;&lt;/FQL&gt;&lt;FQL&gt;&lt;Q&gt;GE-US^FF_RECEIV_TURN(ANN_R,-9,0,Y,RP)&lt;/Q&gt;&lt;R&gt;10&lt;/R&gt;&lt;C&gt;1&lt;/C&gt;&lt;D xsi:type="xsd:double"&gt;0.442169162157009&lt;/D&gt;&lt;D xsi:type="xsd:double"&gt;0.487105834183532&lt;/D&gt;&lt;D xsi:type="xsd:double"&gt;0.509730663242435&lt;/D&gt;&lt;D xsi:type="xsd:double"&gt;0.742032753618593&lt;/D&gt;&lt;D xsi:type="xsd:double"&gt;2.61075012105992&lt;/D&gt;&lt;D xsi:type="xsd:double"&gt;2.72064731382918&lt;/D&gt;&lt;D xsi:type="xsd:double"&gt;2.84552630312365&lt;/D&gt;&lt;D xsi:type="xsd:double"&gt;2.79925497277238&lt;/D&gt;&lt;D xsi:type="xsd:double"&gt;3.32610178980702&lt;/D&gt;&lt;D xsi:type="xsd:double"&gt;2.92001242667349&lt;/D&gt;&lt;/FQL&gt;&lt;FQL&gt;&lt;Q&gt;GE-US^FF_RECEIV_TURN_DAYS(ANN_R,-9,0,Y,RP)&lt;/Q&gt;&lt;R&gt;10&lt;/R&gt;&lt;C&gt;1&lt;/C&gt;&lt;D xsi:type="xsd:double"&gt;825.475929210986&lt;/D&gt;&lt;D xsi:type="xsd:double"&gt;749.323810936896&lt;/D&gt;&lt;D xsi:type="xsd:double"&gt;716.06443622247&lt;/D&gt;&lt;D xsi:type="xsd:double"&gt;491.892033363814&lt;/D&gt;&lt;D xsi:type="xsd:double"&gt;139.806562510784&lt;/D&gt;&lt;D xsi:type="xsd:double"&gt;134.159248846658&lt;/D&gt;&lt;D xsi:type="xsd:double"&gt;128.271525587138&lt;/D&gt;&lt;D xsi:type="xsd:double"&gt;130.391837667615&lt;/D&gt;&lt;D xsi:type="xsd:double"&gt;109.738072694756&lt;/D&gt;&lt;D xsi:type="xsd:double"&gt;124.999468038501&lt;/D&gt;&lt;/FQL&gt;&lt;FQL&gt;&lt;Q&gt;GE-US^FF_INVEN_TURN(ANN_R,-9,0,Y,RP)&lt;/Q&gt;&lt;R&gt;10&lt;/R&gt;&lt;C&gt;1&lt;/C&gt;&lt;D xsi:type="xsd:double"&gt;5.03017615925429&lt;/D&gt;&lt;D xsi:type="xsd:double"&gt;4.78570938764315&lt;/D&gt;&lt;D xsi:type="xsd:double"&gt;4.42771950212545&lt;/D&gt;&lt;D xsi:type="xsd:double"&gt;4.51396584223453&lt;/D&gt;&lt;D xsi:type="xsd:double"&gt;3.85742712167943&lt;/D&gt;&lt;D xsi:type="xsd:double"&gt;3.5759210145089&lt;/D&gt;&lt;D xsi:type="xsd:double"&gt;4.00952768534699&lt;/D&gt;&lt;D xsi:type="xsd:double"&gt;4.14388056107399&lt;/D&gt;&lt;D xsi:type="xsd:double"&gt;4.29324908117867&lt;/D&gt;&lt;D xsi:type="xsd:double"&gt;3.61824497809998&lt;/D&gt;&lt;/FQL&gt;&lt;FQL&gt;&lt;Q&gt;GE-US^FF_INVEN_DAYS(ANN_R,-9,0,Y,RP)&lt;/Q&gt;&lt;R&gt;10&lt;/R&gt;&lt;C&gt;1&lt;/C&gt;&lt;D xsi:type="xsd:double"&gt;72.5620710774691&lt;/D&gt;&lt;D xsi:type="xsd:double"&gt;76.2687347757558&lt;/D&gt;&lt;D xsi:type="xsd:double"&gt;82.4352129408352&lt;/D&gt;&lt;D xsi:type="xsd:double"&gt;80.8601599473591&lt;/D&gt;&lt;D xsi:type="xsd:double"&gt;94.6226561089474&lt;/D&gt;&lt;D xsi:type="xsd:double"&gt;102.071605753889&lt;/D&gt;&lt;D xsi:type="xsd:double"&gt;91.0331661591737&lt;/D&gt;&lt;D xsi:type="xsd:double"&gt;88.0816892814597&lt;/D&gt;&lt;D xsi:type="xsd:double"&gt;85.0171963234411&lt;/D&gt;&lt;D xsi:type="xsd:double"&gt;100.877636038804&lt;/D&gt;&lt;/FQL&gt;&lt;FQL&gt;&lt;Q&gt;GE-US^FF_PAY_TURN(ANN_R,-9,0,Y,RP)&lt;/Q&gt;&lt;R&gt;10&lt;/R&gt;&lt;C&gt;1&lt;/C&gt;&lt;D xsi:type="xsd:double"&gt;4.2466&lt;/D&gt;&lt;D xsi:type="xsd:double"&gt;4.4503&lt;/D&gt;&lt;D xsi:type="xsd:double"&gt;4.6253&lt;/D&gt;&lt;D xsi:type="xsd:double"&gt;5.5638&lt;/D&gt;&lt;D xsi:type="xsd:double"&gt;6.3983&lt;/D&gt;&lt;D xsi:type="xsd:double"&gt;5.6954&lt;/D&gt;&lt;D xsi:type="xsd:double"&gt;5.4588&lt;/D&gt;&lt;D xsi:type="xsd:double"&gt;4.3602&lt;/D&gt;&lt;D xsi:type="xsd:double"&gt;4.4894&lt;/D&gt;&lt;D xsi:type="xsd:double"&gt;3.4621&lt;/D&gt;&lt;/FQL&gt;&lt;FQL&gt;&lt;Q&gt;GE-US^FF_PAY_TURN_DAYS(ANN_R,-9,0,Y,RP)&lt;/Q&gt;&lt;R&gt;10&lt;/R&gt;&lt;C&gt;1&lt;/C&gt;&lt;D xsi:type="xsd:double"&gt;85.9511138322423&lt;/D&gt;&lt;D xsi:type="xsd:double"&gt;82.0169426780217&lt;/D&gt;&lt;D xsi:type="xsd:double"&gt;78.9138001859339&lt;/D&gt;&lt;D xsi:type="xsd:double"&gt;65.60264567382&lt;/D&gt;&lt;D xsi:type="xsd:double"&gt;57.0464029507838&lt;/D&gt;&lt;D xsi:type="xsd:double"&gt;64.0868068967939&lt;/D&gt;&lt;D xsi:type="xsd:double"&gt;66.864512347036&lt;/D&gt;&lt;D xsi:type="xsd:double"&gt;83.7117563414522&lt;/D&gt;&lt;D xsi:type="xsd:double"&gt;81.3026239586582&lt;/D&gt;&lt;D xsi:type="xsd:double"&gt;105.427341786777&lt;/D&gt;&lt;/FQL&gt;&lt;FQL&gt;&lt;Q&gt;GE-US^FF_CASH_CONV_CYCLE(ANN_R,-9,0,Y,RP)&lt;/Q&gt;&lt;R&gt;10&lt;/R&gt;&lt;C&gt;1&lt;/C&gt;&lt;D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xsi:type="xsd:double"&gt;120.449762290529&lt;/D&gt;&lt;/FQL&gt;&lt;FQL&gt;&lt;Q&gt;GE-US^FF_SALES(ANN_R,-9,0,Y,RP)/FF_ASSETS(ANN_R,-9,0,Y,RP)&lt;/Q&gt;&lt;R&gt;10&lt;/R&gt;&lt;C&gt;1&lt;/C&gt;&lt;D xsi:type="xsd:double"&gt;0.190687631195433&lt;/D&gt;&lt;D xsi:type="xsd:double"&gt;0.202024933845283&lt;/D&gt;&lt;D xsi:type="xsd:double"&gt;0.208394361507784&lt;/D&gt;&lt;D xsi:type="xsd:double"&gt;0.172901256276209&lt;/D&gt;&lt;D xsi:type="xsd:double"&gt;0.225014947160816&lt;/D&gt;&lt;D xsi:type="xsd:double"&gt;0.307712251860485&lt;/D&gt;&lt;D xsi:type="xsd:double"&gt;0.309039112423716&lt;/D&gt;&lt;D xsi:type="xsd:double"&gt;0.30796376013615&lt;/D&gt;&lt;D xsi:type="xsd:double"&gt;0.356443774467894&lt;/D&gt;&lt;D xsi:type="xsd:double"&gt;0.313244461870222&lt;/D&gt;&lt;/FQL&gt;&lt;FQL&gt;&lt;Q&gt;GE-US^FF_SALES(ANN_R,-9,0,Y,RP)/FF_WKCAP(ANN_R,-9,0,Y,RP)&lt;/Q&gt;&lt;R&gt;10&lt;/R&gt;&lt;C&gt;1&lt;/C&gt;&lt;D xsi:type="xsd:double"&gt;0.666319384422756&lt;/D&gt;&lt;D xsi:type="xsd:double"&gt;0.640304014493714&lt;/D&gt;&lt;D xsi:type="xsd:double"&gt;0.579666758737225&lt;/D&gt;&lt;D xsi:type="xsd:double"&gt;6.16247103433748&lt;/D&gt;&lt;D xsi:type="xsd:double"&gt;3.4321075383431&lt;/D&gt;&lt;D xsi:type="xsd:double"&gt;3.84626985400289&lt;/D&gt;&lt;D xsi:type="xsd:double"&gt;4.74185915944819&lt;/D&gt;&lt;D xsi:type="xsd:double"&gt;7.05006087517009&lt;/D&gt;&lt;D xsi:type="xsd:double"&gt;3.92302930251754&lt;/D&gt;&lt;D xsi:type="xsd:double"&gt;2.47017901864391&lt;/D&gt;&lt;/FQL&gt;&lt;FQL&gt;&lt;Q&gt;GE-US^FF_CURR_RATIO(ANN_R,-9,0,Y,RP)&lt;/Q&gt;&lt;R&gt;10&lt;/R&gt;&lt;C&gt;1&lt;/C&gt;&lt;D xsi:type="xsd:double"&gt;2.11643542666388&lt;/D&gt;&lt;D xsi:type="xsd:double"&gt;2.47033408266954&lt;/D&gt;&lt;D xsi:type="xsd:double"&gt;2.86316920701712&lt;/D&gt;&lt;D xsi:type="xsd:double"&gt;1.17003823800697&lt;/D&gt;&lt;D xsi:type="xsd:double"&gt;1.32141225732775&lt;/D&gt;&lt;D xsi:type="xsd:double"&gt;1.38201765138514&lt;/D&gt;&lt;D xsi:type="xsd:double"&gt;1.31446731234867&lt;/D&gt;&lt;D xsi:type="xsd:double"&gt;1.23098046351591&lt;/D&gt;&lt;D xsi:type="xsd:double"&gt;1.30722998503791&lt;/D&gt;&lt;D xsi:type="xsd:double"&gt;1.57684281866985&lt;/D&gt;&lt;/FQL&gt;&lt;FQL&gt;&lt;Q&gt;GE-US^FF_QUICK_RATIO(ANN_R,-9,0,Y,RP)&lt;/Q&gt;&lt;R&gt;10&lt;/R&gt;&lt;C&gt;1&lt;/C&gt;&lt;D xsi:type="xsd:double"&gt;2.04449718339245&lt;/D&gt;&lt;D xsi:type="xsd:double"&gt;2.37044713281443&lt;/D&gt;&lt;D xsi:type="xsd:double"&gt;2.73205231053325&lt;/D&gt;&lt;D xsi:type="xsd:double"&gt;1.01163259275179&lt;/D&gt;&lt;D xsi:type="xsd:double"&gt;1.10714693566806&lt;/D&gt;&lt;D xsi:type="xsd:double"&gt;1.10800441284629&lt;/D&gt;&lt;D xsi:type="xsd:double"&gt;1.06957475786925&lt;/D&gt;&lt;D xsi:type="xsd:double"&gt;1.00264677176556&lt;/D&gt;&lt;D xsi:type="xsd:double"&gt;1.0889483427586&lt;/D&gt;&lt;D xsi:type="xsd:double"&gt;1.29344200895325&lt;/D&gt;&lt;/FQL&gt;&lt;FQL&gt;&lt;Q&gt;GE-US^FF_CASH_RATIO(ANN_R,-9,0,Y,RP)&lt;/Q&gt;&lt;R&gt;10&lt;/R&gt;&lt;C&gt;1&lt;/C&gt;&lt;D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xsi:type="xsd:double"&gt;0.783837771317484&lt;/D&gt;&lt;/FQL&gt;&lt;FQL&gt;&lt;Q&gt;GE-US^FF_NET_DEBT(ANN_R,-9,0,Y,RP)/FF_EBITDA_OPER(ANN_R,-9,0,Y,RP)&lt;/Q&gt;&lt;R&gt;10&lt;/R&gt;&lt;C&gt;1&lt;/C&gt;&lt;D xsi:type="xsd:double"&gt;8.75141135727501&lt;/D&gt;&lt;D xsi:type="xsd:double"&gt;8.66008230452675&lt;/D&gt;&lt;D xsi:type="xsd:double"&gt;8.3560808126667&lt;/D&gt;&lt;D xsi:type="xsd:double"&gt;9.72506478329353&lt;/D&gt;&lt;D xsi:type="xsd:double"&gt;6.8178600160901&lt;/D&gt;&lt;D xsi:type="xsd:double"&gt;4.24062394684897&lt;/D&gt;&lt;D xsi:type="xsd:double"&gt;11.3706398996236&lt;/D&gt;&lt;D xsi:type="xsd:double"&gt;4.24954558780416&lt;/D&gt;&lt;D xsi:type="xsd:double"&gt;3.40379517231757&lt;/D&gt;&lt;D xsi:type="xsd:double"&gt;3.79678378676066&lt;/D&gt;&lt;/FQL&gt;&lt;FQL&gt;&lt;Q&gt;GE-US^FF_NET_DEBT(ANN_R,-9,0,Y,RP)/(FF_EBITDA_OPER(ANN_R,-9,0,Y,RP)-FF_CAPEX(ANN_R,-9,0,Y,RP))&lt;/Q&gt;&lt;R&gt;10&lt;/R&gt;&lt;C&gt;1&lt;/C&gt;&lt;D xsi:type="xsd:double"&gt;12.5031177985631&lt;/D&gt;&lt;D xsi:type="xsd:double"&gt;14.1746232213522&lt;/D&gt;&lt;D xsi:type="xsd:double"&gt;13.5184080058759&lt;/D&gt;&lt;D xsi:type="xsd:double"&gt;15.2545628437077&lt;/D&gt;&lt;D xsi:type="xsd:double"&gt;11.2137438249824&lt;/D&gt;&lt;D xsi:type="xsd:double"&gt;6.48997936928971&lt;/D&gt;&lt;D xsi:type="xsd:double"&gt;1812.48&lt;/D&gt;&lt;D xsi:type="xsd:double"&gt;7.17016224772457&lt;/D&gt;&lt;D xsi:type="xsd:double"&gt;5.92183517417162&lt;/D&gt;&lt;D xsi:type="xsd:double"&gt;6.0731148696265&lt;/D&gt;&lt;/FQL&gt;&lt;FQL&gt;&lt;Q&gt;GE-US^FF_DEBT_EBITDA_OPER(ANN_R,-9,0,Y,RP)&lt;/Q&gt;&lt;R&gt;10&lt;/R&gt;&lt;C&gt;1&lt;/C&gt;&lt;D xsi:type="xsd:double"&gt;10.7557996109872&lt;/D&gt;&lt;D xsi:type="xsd:double"&gt;10.6496913580247&lt;/D&gt;&lt;D xsi:type="xsd:double"&gt;10.8688496680098&lt;/D&gt;&lt;D xsi:type="xsd:double"&gt;13.2830648849144&lt;/D&gt;&lt;D xsi:type="xsd:double"&gt;10.5981228211317&lt;/D&gt;&lt;D xsi:type="xsd:double"&gt;6.55774878436281&lt;/D&gt;&lt;D xsi:type="xsd:double"&gt;16.8872020075282&lt;/D&gt;&lt;D xsi:type="xsd:double"&gt;6.07446496628555&lt;/D&gt;&lt;D xsi:type="xsd:double"&gt;6.34030975303474&lt;/D&gt;&lt;D xsi:type="xsd:double"&gt;8.26809119947131&lt;/D&gt;&lt;/FQL&gt;&lt;FQL&gt;&lt;Q&gt;GE-US^(FF_DEBT(ANN_R,-9,0,Y,RP)+IF(FF_PENS_FUNDED_STATUS(ANN_R,-9,0,Y,RP)&amp;lt;0,FF_PENS_FUNDED_STATUS(ANN_R,-9,0,Y,RP)*-1,0)) // FF_EBITDA_OPER(ANN_R,-9,0,Y,RP)&lt;/Q&gt;&lt;R&gt;10&lt;/R&gt;&lt;C&gt;1&lt;/C&gt;&lt;D xsi:type="xsd:double"&gt;11.2688457706722&lt;/D&gt;&lt;D xsi:type="xsd:double"&gt;11.2321502057613&lt;/D&gt;&lt;D xsi:type="xsd:double"&gt;11.2176380455139&lt;/D&gt;&lt;D xsi:type="xsd:double"&gt;14.5867588029064&lt;/D&gt;&lt;D xsi:type="xsd:double"&gt;12.0597479216948&lt;/D&gt;&lt;D xsi:type="xsd:double"&gt;8.05310288382841&lt;/D&gt;&lt;D xsi:type="xsd:double"&gt;20.488582183187&lt;/D&gt;&lt;D xsi:type="xsd:double"&gt;7.36704778657285&lt;/D&gt;&lt;D xsi:type="xsd:double"&gt;8.18968885168132&lt;/D&gt;&lt;D xsi:type="xsd:double"&gt;10.9072585086463&lt;/D&gt;&lt;/FQL&gt;&lt;FQL&gt;&lt;Q&gt;GE-US^FF_EBITDA_OPER(ANN_R,-9,0,Y,RP)/FF_INT_EXP_NET(ANN_R,-9,0,Y,RP)&lt;/Q&gt;&lt;R&gt;10&lt;/R&gt;&lt;C&gt;1&lt;/C&gt;&lt;D xsi:type="xsd:double"&gt;3.30884545954007&lt;/D&gt;&lt;D xsi:type="xsd:double"&gt;3.43129467831612&lt;/D&gt;&lt;D xsi:type="xsd:double"&gt;4.34871668311945&lt;/D&gt;&lt;D xsi:type="xsd:double"&gt;8.09917695473251&lt;/D&gt;&lt;D xsi:type="xsd:double"&gt;6.03398058252427&lt;/D&gt;&lt;D xsi:type="xsd:double"&gt;4.85190376080355&lt;/D&gt;&lt;D xsi:type="xsd:double"&gt;1.63688642431711&lt;/D&gt;&lt;D xsi:type="xsd:double"&gt;3.74013157894737&lt;/D&gt;&lt;D xsi:type="xsd:double"&gt;3.3149861239593&lt;/D&gt;&lt;D xsi:type="xsd:double"&gt;2.80996595481275&lt;/D&gt;&lt;/FQL&gt;&lt;FQL&gt;&lt;Q&gt;GE-US^FF_EBIT_OPER_INT_COVG(ANN_R,-9,0,Y,RP)&lt;/Q&gt;&lt;R&gt;10&lt;/R&gt;&lt;C&gt;1&lt;/C&gt;&lt;D xsi:type="xsd:double"&gt;2.44720350932164&lt;/D&gt;&lt;D xsi:type="xsd:double"&gt;2.45787481292367&lt;/D&gt;&lt;D xsi:type="xsd:double"&gt;2.9225378089266&lt;/D&gt;&lt;D xsi:type="xsd:double"&gt;5.40122199592668&lt;/D&gt;&lt;D xsi:type="xsd:double"&gt;3.89762516046213&lt;/D&gt;&lt;D xsi:type="xsd:double"&gt;3.22961075069509&lt;/D&gt;&lt;D xsi:type="xsd:double"&gt;0.111111111111111&lt;/D&gt;&lt;D xsi:type="xsd:double"&gt;2.29671052631579&lt;/D&gt;&lt;D xsi:type="xsd:double"&gt;2.02104532839963&lt;/D&gt;&lt;D xsi:type="xsd:double"&gt;0.947384710615908&lt;/D&gt;&lt;/FQL&gt;&lt;FQL&gt;&lt;Q&gt;GE-US^FF_EBIT_OPER_FIX_CHRG_COVG(ANN_R,-9,0,Y,RP)&lt;/Q&gt;&lt;R&gt;10&lt;/R&gt;&lt;C&gt;1&lt;/C&gt;&lt;D xsi:type="xsd:double"&gt;2.19877491675207&lt;/D&gt;&lt;D xsi:type="xsd:double"&gt;2.45787481292367&lt;/D&gt;&lt;D xsi:type="xsd:double"&gt;2.9225378089266&lt;/D&gt;&lt;D xsi:type="xsd:double"&gt;5.40122199592668&lt;/D&gt;&lt;D xsi:type="xsd:double"&gt;3.79220249266475&lt;/D&gt;&lt;D xsi:type="xsd:double"&gt;2.82169457326285&lt;/D&gt;&lt;D xsi:type="xsd:double"&gt;0.101979264844486&lt;/D&gt;&lt;D xsi:type="xsd:double"&gt;2.09125399361022&lt;/D&gt;&lt;D xsi:type="xsd:double"&gt;1.5679545061232&lt;/D&gt;&lt;D xsi:type="xsd:double"&gt;0.835128316500406&lt;/D&gt;&lt;/FQL&gt;&lt;FQL&gt;&lt;Q&gt;GE-US^FF_OPER_CF(ANN_R,-9,0,Y,RP)/FF_INT_EXP_NET(ANN_R,-9,0,Y,RP)&lt;/Q&gt;&lt;R&gt;10&lt;/R&gt;&lt;C&gt;1&lt;/C&gt;&lt;D xsi:type="xsd:double"&gt;2.61824032650498&lt;/D&gt;&lt;D xsi:type="xsd:double"&gt;2.7650692789692&lt;/D&gt;&lt;D xsi:type="xsd:double"&gt;3.52653010858835&lt;/D&gt;&lt;D xsi:type="xsd:double"&gt;11.4028806584362&lt;/D&gt;&lt;D xsi:type="xsd:double"&gt;6.43721682847896&lt;/D&gt;&lt;D xsi:type="xsd:double"&gt;-0.056996028965195&lt;/D&gt;&lt;D xsi:type="xsd:double"&gt;1.23885808174163&lt;/D&gt;&lt;D xsi:type="xsd:double"&gt;1.09166666666667&lt;/D&gt;&lt;D xsi:type="xsd:double"&gt;2.02867715078631&lt;/D&gt;&lt;D xsi:type="xsd:double"&gt;1.11327762302693&lt;/D&gt;&lt;/FQL&gt;&lt;FQL&gt;&lt;Q&gt;GE-US^FF_DEBT_LT(ANN_R,-9,0,Y,RP)/FF_EBITDA_OPER(ANN_R,-9,0,Y,RP)&lt;/Q&gt;&lt;R&gt;10&lt;/R&gt;&lt;C&gt;1&lt;/C&gt;&lt;D xsi:type="xsd:double"&gt;7.23748754684757&lt;/D&gt;&lt;D xsi:type="xsd:double"&gt;7.8079475308642&lt;/D&gt;&lt;D xsi:type="xsd:double"&gt;8.40199194143352&lt;/D&gt;&lt;D xsi:type="xsd:double"&gt;9.70474061277374&lt;/D&gt;&lt;D xsi:type="xsd:double"&gt;7.92394743899169&lt;/D&gt;&lt;D xsi:type="xsd:double"&gt;5.07905252515526&lt;/D&gt;&lt;D xsi:type="xsd:double"&gt;13.8713927227102&lt;/D&gt;&lt;D xsi:type="xsd:double"&gt;5.32535913221929&lt;/D&gt;&lt;D xsi:type="xsd:double"&gt;4.94265383005442&lt;/D&gt;&lt;D xsi:type="xsd:double"&gt;8.1112457319088&lt;/D&gt;&lt;/FQL&gt;&lt;FQL&gt;&lt;Q&gt;GE-US^(FF_DEBT_LT(ANN_R,-9,0,Y,RP)/FA_STKHLDRS_EQUITY(-9,0,Y,RP))*100&lt;/Q&gt;&lt;R&gt;10&lt;/R&gt;&lt;C&gt;1&lt;/C&gt;&lt;D xsi:type="xsd:double"&gt;262.043319191329&lt;/D&gt;&lt;D xsi:type="xsd:double"&gt;246.755157446393&lt;/D&gt;&lt;D xsi:type="xsd:double"&gt;226.784155139929&lt;/D&gt;&lt;D xsi:type="xsd:double"&gt;149.032842016558&lt;/D&gt;&lt;D xsi:type="xsd:double"&gt;150.336813399271&lt;/D&gt;&lt;D xsi:type="xsd:double"&gt;139.126707812418&lt;/D&gt;&lt;D xsi:type="xsd:double"&gt;172.035230225791&lt;/D&gt;&lt;D xsi:type="xsd:double"&gt;293.160324069591&lt;/D&gt;&lt;D xsi:type="xsd:double"&gt;250.204831190846&lt;/D&gt;&lt;D xsi:type="xsd:double"&gt;207.138838883888&lt;/D&gt;&lt;/FQL&gt;&lt;FQL&gt;&lt;Q&gt;GE-US^FF_LTD_TCAP(ANN_R,-9,0,Y,RP)&lt;/Q&gt;&lt;R&gt;10&lt;/R&gt;&lt;C&gt;1&lt;/C&gt;&lt;D xsi:type="xsd:double"&gt;53.5406514693418&lt;/D&gt;&lt;D xsi:type="xsd:double"&gt;56.5222329384866&lt;/D&gt;&lt;D xsi:type="xsd:double"&gt;57.6517797689279&lt;/D&gt;&lt;D xsi:type="xsd:double"&gt;49.0265232312498&lt;/D&gt;&lt;D xsi:type="xsd:double"&gt;49.9337560329327&lt;/D&gt;&lt;D xsi:type="xsd:double"&gt;49.7535830672659&lt;/D&gt;&lt;D xsi:type="xsd:double"&gt;57.9972825659293&lt;/D&gt;&lt;D xsi:type="xsd:double"&gt;67.4864951218969&lt;/D&gt;&lt;D xsi:type="xsd:double"&gt;57.6914620740198&lt;/D&gt;&lt;D xsi:type="xsd:double"&gt;64.6141157477275&lt;/D&gt;&lt;/FQL&gt;&lt;FQL&gt;&lt;Q&gt;GE-US^(FF_DEBT_LT(ANN_R,-9,0,Y,RP)/FA_ASSETS_TOTAL(-9,0,Y,RP))*100&lt;/Q&gt;&lt;R&gt;10&lt;/R&gt;&lt;C&gt;1&lt;/C&gt;&lt;D xsi:type="xsd:double"&gt;40.7949941839477&lt;/D&gt;&lt;D xsi:type="xsd:double"&gt;42.3241009511222&lt;/D&gt;&lt;D xsi:type="xsd:double"&gt;43.2397819487057&lt;/D&gt;&lt;D xsi:type="xsd:double"&gt;28.1586505006664&lt;/D&gt;&lt;D xsi:type="xsd:double"&gt;28.7006404814587&lt;/D&gt;&lt;D xsi:type="xsd:double"&gt;27.0818305270967&lt;/D&gt;&lt;D xsi:type="xsd:double"&gt;28.0952986022872&lt;/D&gt;&lt;D xsi:type="xsd:double"&gt;28.5890559290877&lt;/D&gt;&lt;D xsi:type="xsd:double"&gt;25.8484439417709&lt;/D&gt;&lt;D xsi:type="xsd:double"&gt;28.8735542050578&lt;/D&gt;&lt;/FQL&gt;&lt;FQL&gt;&lt;Q&gt;GE-US^FF_DEBT_ASSETS(ANN_R,-9,0,Y,RP)&lt;/Q&gt;&lt;R&gt;10&lt;/R&gt;&lt;C&gt;1&lt;/C&gt;&lt;D xsi:type="xsd:double"&gt;60.6263955182972&lt;/D&gt;&lt;D xsi:type="xsd:double"&gt;57.7281814911789&lt;/D&gt;&lt;D xsi:type="xsd:double"&gt;55.9351512062769&lt;/D&gt;&lt;D xsi:type="xsd:double"&gt;38.628646407452&lt;/D&gt;&lt;D xsi:type="xsd:double"&gt;38.3582970330856&lt;/D&gt;&lt;D xsi:type="xsd:double"&gt;34.9663328618479&lt;/D&gt;&lt;D xsi:type="xsd:double"&gt;35.1766135671628&lt;/D&gt;&lt;D xsi:type="xsd:double"&gt;32.4106517168886&lt;/D&gt;&lt;D xsi:type="xsd:double"&gt;35.4321348752794&lt;/D&gt;&lt;D xsi:type="xsd:double"&gt;30.7469123701235&lt;/D&gt;&lt;/FQL&gt;&lt;FQL&gt;&lt;Q&gt;GE-US^(FF_NET_DEBT(ANN_R,-9,0,Y,RP) // FF_SHLDRS_EQ(ANN_R,-9,0,Y,RP))*100&lt;/Q&gt;&lt;R&gt;10&lt;/R&gt;&lt;C&gt;1&lt;/C&gt;&lt;D xsi:type="xsd:double"&gt;316.857039798004&lt;/D&gt;&lt;D xsi:type="xsd:double"&gt;273.685237266919&lt;/D&gt;&lt;D xsi:type="xsd:double"&gt;225.544935128594&lt;/D&gt;&lt;D xsi:type="xsd:double"&gt;149.344954314562&lt;/D&gt;&lt;D xsi:type="xsd:double"&gt;129.351608767324&lt;/D&gt;&lt;D xsi:type="xsd:double"&gt;116.160257424698&lt;/D&gt;&lt;D xsi:type="xsd:double"&gt;161.741923969302&lt;/D&gt;&lt;D xsi:type="xsd:double"&gt;233.936929085569&lt;/D&gt;&lt;D xsi:type="xsd:double"&gt;172.305410368696&lt;/D&gt;&lt;D xsi:type="xsd:double"&gt;96.9593834383438&lt;/D&gt;&lt;/FQL&gt;&lt;FQL&gt;&lt;Q&gt;GE-US^FF_DEBT_EQ(ANN_R,-9,0,Y,RP)&lt;/Q&gt;&lt;R&gt;10&lt;/R&gt;&lt;C&gt;1&lt;/C&gt;&lt;D xsi:type="xsd:double"&gt;389.428708840756&lt;/D&gt;&lt;D xsi:type="xsd:double"&gt;336.563002942467&lt;/D&gt;&lt;D xsi:type="xsd:double"&gt;293.368870915859&lt;/D&gt;&lt;D xsi:type="xsd:double"&gt;203.984113484032&lt;/D&gt;&lt;D xsi:type="xsd:double"&gt;201.072511549342&lt;/D&gt;&lt;D xsi:type="xsd:double"&gt;179.631534525505&lt;/D&gt;&lt;D xsi:type="xsd:double"&gt;240.212386221667&lt;/D&gt;&lt;D xsi:type="xsd:double"&gt;334.398502307866&lt;/D&gt;&lt;D xsi:type="xsd:double"&gt;333.694730894194&lt;/D&gt;&lt;D xsi:type="xsd:double"&gt;220.578307830783&lt;/D&gt;&lt;/FQL&gt;&lt;FQL&gt;&lt;Q&gt;GE-US^FF_NET_DEBT_TCAP(ANN_R,-9,0,Y,RP)&lt;/Q&gt;&lt;R&gt;10&lt;/R&gt;&lt;C&gt;1&lt;/C&gt;&lt;D xsi:type="xsd:double"&gt;64.7401825995252&lt;/D&gt;&lt;D xsi:type="xsd:double"&gt;62.6908912166767&lt;/D&gt;&lt;D xsi:type="xsd:double"&gt;57.3367522965074&lt;/D&gt;&lt;D xsi:type="xsd:double"&gt;49.1291971158906&lt;/D&gt;&lt;D xsi:type="xsd:double"&gt;42.9636063756439&lt;/D&gt;&lt;D xsi:type="xsd:double"&gt;41.5404713283877&lt;/D&gt;&lt;D xsi:type="xsd:double"&gt;47.5414566076141&lt;/D&gt;&lt;D xsi:type="xsd:double"&gt;53.8530698984255&lt;/D&gt;&lt;D xsi:type="xsd:double"&gt;39.7296527014372&lt;/D&gt;&lt;D xsi:type="xsd:double"&gt;30.2451479310708&lt;/D&gt;&lt;/FQL&gt;&lt;FQL&gt;&lt;Q&gt;GE-US^FF_TOT_DEBT_TCAP_STD(ANN_R,-9,0,Y,RP)&lt;/Q&gt;&lt;R&gt;10&lt;/R&gt;&lt;C&gt;1&lt;/C&gt;&lt;D xsi:type="xsd:double"&gt;79.5680150768318&lt;/D&gt;&lt;D xsi:type="xsd:double"&gt;77.0937987584856&lt;/D&gt;&lt;D xsi:type="xsd:double"&gt;74.5785680073831&lt;/D&gt;&lt;D xsi:type="xsd:double"&gt;67.1035440458131&lt;/D&gt;&lt;D xsi:type="xsd:double"&gt;66.7854101042329&lt;/D&gt;&lt;D xsi:type="xsd:double"&gt;64.2386542098388&lt;/D&gt;&lt;D xsi:type="xsd:double"&gt;70.6065963351362&lt;/D&gt;&lt;D xsi:type="xsd:double"&gt;76.9796628052994&lt;/D&gt;&lt;D xsi:type="xsd:double"&gt;76.9423069093278&lt;/D&gt;&lt;D xsi:type="xsd:double"&gt;68.8063734952444&lt;/D&gt;&lt;/FQL&gt;&lt;FQL&gt;&lt;Q&gt;GE-US^FF_NET_DEBT(ANN_R,-9,0,Y,RP)/FF_FUNDS_OPER_GROSS(ANN_R,-9,0,Y,RP)&lt;/Q&gt;&lt;R&gt;10&lt;/R&gt;&lt;C&gt;1&lt;/C&gt;&lt;D xsi:type="xsd:double"&gt;11.8749235572436&lt;/D&gt;&lt;D xsi:type="xsd:double"&gt;10.9206019719772&lt;/D&gt;&lt;D xsi:type="xsd:double"&gt;12.6058387911476&lt;/D&gt;&lt;D xsi:type="xsd:double"&gt;7.61787064676617&lt;/D&gt;&lt;D xsi:type="xsd:double"&gt;8.68655186551866&lt;/D&gt;&lt;D xsi:type="xsd:double"&gt;9.51929104074354&lt;/D&gt;&lt;D xsi:type="xsd:double"&gt;</t>
      </text>
    </comment>
    <comment ref="A2" authorId="0" shapeId="0">
      <text>
        <t>-18.9748743718593&lt;/D&gt;&lt;D xsi:type="xsd:double"&gt;20.814474439977&lt;/D&gt;&lt;D xsi:type="xsd:double"&gt;7.82016348773842&lt;/D&gt;&lt;D xsi:type="xsd:double"&gt;37.0257787325457&lt;/D&gt;&lt;/FQL&gt;&lt;FQL&gt;&lt;Q&gt;GE-US^FF_DEBT_LT(ANN_R,-9,0,Y,RP)/FF_FUNDS_OPER_GROSS(ANN_R,-9,0,Y,RP)&lt;/Q&gt;&lt;R&gt;10&lt;/R&gt;&lt;C&gt;1&lt;/C&gt;&lt;D xsi:type="xsd:double"&gt;9.82065724677331&lt;/D&gt;&lt;D xsi:type="xsd:double"&gt;9.84603658536585&lt;/D&gt;&lt;D xsi:type="xsd:double"&gt;12.6750995248491&lt;/D&gt;&lt;D xsi:type="xsd:double"&gt;7.60195024875622&lt;/D&gt;&lt;D xsi:type="xsd:double"&gt;10.0958042913762&lt;/D&gt;&lt;D xsi:type="xsd:double"&gt;11.4013833351346&lt;/D&gt;&lt;D xsi:type="xsd:double"&gt;-23.1480318257956&lt;/D&gt;&lt;D xsi:type="xsd:double"&gt;26.0838598506605&lt;/D&gt;&lt;D xsi:type="xsd:double"&gt;11.3556659721109&lt;/D&gt;&lt;D xsi:type="xsd:double"&gt;79.0998925886144&lt;/D&gt;&lt;/FQL&gt;&lt;FQL&gt;&lt;Q&gt;GE-US^FF_FREE_CF(ANN_R+"_FCFE",-9,0,Y,RP)/FF_DEBT(ANN_R,-9,0,Y,RP)&lt;/Q&gt;&lt;R&gt;10&lt;/R&gt;&lt;C&gt;1&lt;/C&gt;&lt;D xsi:type="xsd:double"&gt;0.0456705693990204&lt;/D&gt;&lt;D xsi:type="xsd:double"&gt;0.0391368400714872&lt;/D&gt;&lt;D xsi:type="xsd:double"&gt;0.0394762949039265&lt;/D&gt;&lt;D xsi:type="xsd:double"&gt;0.0787035620295&lt;/D&gt;&lt;D xsi:type="xsd:double"&gt;0.0636734446007631&lt;/D&gt;&lt;D xsi:type="xsd:double"&gt;-0.0546431639148086&lt;/D&gt;&lt;D xsi:type="xsd:double"&gt;-0.00994865927142231&lt;/D&gt;&lt;D xsi:type="xsd:double"&gt;-0.0159169884169884&lt;/D&gt;&lt;D xsi:type="xsd:double"&gt;0.0313158145392585&lt;/D&gt;&lt;D xsi:type="xsd:double"&gt;0.00439938791124713&lt;/D&gt;&lt;/FQL&gt;&lt;FQL&gt;&lt;Q&gt;GE-US^FF_OPER_CF(ANN_R,-9,0,Y,RP)/FF_DEBT(ANN_R,-9,0,Y,RP)&lt;/Q&gt;&lt;R&gt;10&lt;/R&gt;&lt;C&gt;1&lt;/C&gt;&lt;D xsi:type="xsd:double"&gt;0.0735682323908407&lt;/D&gt;&lt;D xsi:type="xsd:double"&gt;0.0756677776167705&lt;/D&gt;&lt;D xsi:type="xsd:double"&gt;0.0746110066833751&lt;/D&gt;&lt;D xsi:type="xsd:double"&gt;0.105992563804394&lt;/D&gt;&lt;D xsi:type="xsd:double"&gt;0.100661936620075&lt;/D&gt;&lt;D xsi:type="xsd:double"&gt;-0.00179133843815845&lt;/D&gt;&lt;D xsi:type="xsd:double"&gt;0.044817261183883&lt;/D&gt;&lt;D xsi:type="xsd:double"&gt;0.048050193050193&lt;/D&gt;&lt;D xsi:type="xsd:double"&gt;0.0928362031559229&lt;/D&gt;&lt;D xsi:type="xsd:double"&gt;0.0458684009181331&lt;/D&gt;&lt;/FQL&gt;&lt;FQL&gt;&lt;Q&gt;GE-US^LIF(SWP_GET_LANGUAGE_QUICK=="JP",PROPER(CONVERT_DATE(FF_FP_END_DATE(ANN_R,-9,0,Y,RP),"M/DD/YYYY")),PROPER(CONVERT_DATE(FF_FP_END_DATE(ANN_R,-9,0,Y,RP),"MMM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'20&lt;/D&gt;&lt;/FQL&gt;&lt;FQL&gt;&lt;Q&gt;GE-US^FF_RESTATE_IND(ANN,-9,0,Y,RP)&lt;/Q&gt;&lt;R&gt;1&lt;/R&gt;&lt;C&gt;1&lt;/C&gt;&lt;D xsi:type="xsd:string" /&gt;&lt;/FQL&gt;&lt;FQL&gt;&lt;Q&gt;GE-US^FF_UPD_STATUS(ANN_R,-9,0,Y)&lt;/Q&gt;&lt;R&gt;10&lt;/R&gt;&lt;C&gt;1&lt;/C&gt;&lt;D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xsi:type="xsd:string"&gt;Final&lt;/D&gt;&lt;/FQL&gt;&lt;FQL&gt;&lt;Q&gt;GE-US^FF_NET_INC_CF(ANN_R,-9,0,Y,RP,USD,M)&lt;/Q&gt;&lt;R&gt;10&lt;/R&gt;&lt;C&gt;1&lt;/C&gt;&lt;D xsi:type="xsd:double"&gt;14151&lt;/D&gt;&lt;D xsi:type="xsd:double"&gt;13641&lt;/D&gt;&lt;D xsi:type="xsd:double"&gt;17595&lt;/D&gt;&lt;D xsi:type="xsd:double"&gt;15345&lt;/D&gt;&lt;D xsi:type="xsd:double"&gt;-6127&lt;/D&gt;&lt;D xsi:type="xsd:double"&gt;8831&lt;/D&gt;&lt;D xsi:type="xsd:double"&gt;-8849&lt;/D&gt;&lt;D xsi:type="xsd:double"&gt;-22443&lt;/D&gt;&lt;D xsi:type="xsd:double"&gt;-4912&lt;/D&gt;&lt;D xsi:type="xsd:double"&gt;5546&lt;/D&gt;&lt;/FQL&gt;&lt;FQL&gt;&lt;Q&gt;GE-US^FF_DEP_EXP_CF(ANN_R,-9,0,Y,RP,USD,M)&lt;/Q&gt;&lt;R&gt;10&lt;/R&gt;&lt;C&gt;1&lt;/C&gt;&lt;D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xsi:type="xsd:double"&gt;7429&lt;/D&gt;&lt;D xsi:type="xsd:double"&gt;6582&lt;/D&gt;&lt;D xsi:type="xsd:double"&gt;5595&lt;/D&gt;&lt;D xsi:type="xsd:double"&gt;6018&lt;/D&gt;&lt;/FQL&gt;&lt;FQL&gt;&lt;Q&gt;GE-US^FF_DEP_EXP_XAMORT_CF(ANN_R,-9,0,Y,RP,USD,M)&lt;/Q&gt;&lt;R&gt;10&lt;/R&gt;&lt;C&gt;1&lt;/C&gt;&lt;D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xsi:type="xsd:double"&gt;2290&lt;/D&gt;&lt;D xsi:type="xsd:double"&gt;2163&lt;/D&gt;&lt;D xsi:type="xsd:double"&gt;1569&lt;/D&gt;&lt;D xsi:type="xsd:double"&gt;1382&lt;/D&gt;&lt;/FQL&gt;&lt;FQL&gt;&lt;Q&gt;GE-US^FF_DFD_TAX_CF(ANN_R,-9,0,Y,RP,USD,M)&lt;/Q&gt;&lt;R&gt;10&lt;/R&gt;&lt;C&gt;1&lt;/C&gt;&lt;D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xsi:type="xsd:double"&gt;-1915&lt;/D&gt;&lt;/FQL&gt;&lt;FQL&gt;&lt;Q&gt;GE-US^FF_DFD_TAX_XITC_CF(ANN_R,-9,0,Y,RP,USD,M)&lt;/Q&gt;&lt;R&gt;10&lt;/R&gt;&lt;C&gt;1&lt;/C&gt;&lt;D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xsi:type="xsd:double"&gt;-1915&lt;/D&gt;&lt;/FQL&gt;&lt;FQL&gt;&lt;Q&gt;GE-US^FF_ITC_CF(ANN_R,-9,0,Y,RP,USD,M)&lt;/Q&gt;&lt;R&gt;10&lt;/R&gt;&lt;C&gt;1&lt;/C&gt;&lt;D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xsi:type="xsd:string"&gt;@NA&lt;/D&gt;&lt;/FQL&gt;&lt;FQL&gt;&lt;Q&gt;GE-US^FF_NON_CASH(ANN_R,-9,0,Y,RP,USD,M)&lt;/Q&gt;&lt;R&gt;10&lt;/R&gt;&lt;C&gt;1&lt;/C&gt;&lt;D xsi:type="xsd:double"&gt;7936&lt;/D&gt;&lt;D xsi:type="xsd:double"&gt;9016&lt;/D&gt;&lt;D xsi:type="xsd:double"&gt;-701&lt;/D&gt;&lt;D xsi:type="xsd:double"&gt;5709&lt;/D&gt;&lt;D xsi:type="xsd:double"&gt;15531&lt;/D&gt;&lt;D xsi:type="xsd:double"&gt;-5389&lt;/D&gt;&lt;D xsi:type="xsd:double"&gt;1691&lt;/D&gt;&lt;D xsi:type="xsd:double"&gt;20654&lt;/D&gt;&lt;D xsi:type="xsd:double"&gt;6780&lt;/D&gt;&lt;D xsi:type="xsd:double"&gt;-8718&lt;/D&gt;&lt;/FQL&gt;&lt;FQL&gt;&lt;Q&gt;GE-US^FF_FUNDS_OPER_GROSS(ANN_R,-9,0,Y,RP,USD,M)&lt;/Q&gt;&lt;R&gt;10&lt;/R&gt;&lt;C&gt;1&lt;/C&gt;&lt;D xsi:type="xsd:double"&gt;31069&lt;/D&gt;&lt;D xsi:type="xsd:double"&gt;30832&lt;/D&gt;&lt;D xsi:type="xsd:double"&gt;23361&lt;/D&gt;&lt;D xsi:type="xsd:double"&gt;25125&lt;/D&gt;&lt;D xsi:type="xsd:double"&gt;14634&lt;/D&gt;&lt;D xsi:type="xsd:double"&gt;9253&lt;/D&gt;&lt;D xsi:type="xsd:double"&gt;-4776&lt;/D&gt;&lt;D xsi:type="xsd:double"&gt;3482&lt;/D&gt;&lt;D xsi:type="xsd:double"&gt;6239&lt;/D&gt;&lt;D xsi:type="xsd:double"&gt;931&lt;/D&gt;&lt;/FQL&gt;&lt;FQL&gt;&lt;Q&gt;GE-US^FF_XORD_CF(ANN_R,-9,0,Y,RP,USD,M)&lt;/Q&gt;&lt;R&gt;10&lt;/R&gt;&lt;C&gt;1&lt;/C&gt;&lt;D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xsi:type="xsd:double"&gt;0&lt;/D&gt;&lt;/FQL&gt;&lt;FQL&gt;&lt;Q&gt;GE-US^FF_WKCAP_CHG(ANN_R,-9,0,Y,RP,USD,M)&lt;/Q&gt;&lt;R&gt;10&lt;/R&gt;&lt;C&gt;1&lt;/C&gt;&lt;D xsi:type="xsd:double"&gt;2290&lt;/D&gt;&lt;D xsi:type="xsd:double"&gt;499&lt;/D&gt;&lt;D xsi:type="xsd:double"&gt;5218&lt;/D&gt;&lt;D xsi:type="xsd:double"&gt;2584&lt;/D&gt;&lt;D xsi:type="xsd:double"&gt;5257&lt;/D&gt;&lt;D xsi:type="xsd:double"&gt;-9497&lt;/D&gt;&lt;D xsi:type="xsd:double"&gt;10808&lt;/D&gt;&lt;D xsi:type="xsd:double"&gt;1496&lt;/D&gt;&lt;D xsi:type="xsd:double"&gt;2533&lt;/D&gt;&lt;D xsi:type="xsd:double"&gt;2666&lt;/D&gt;&lt;/FQL&gt;&lt;FQL&gt;&lt;Q&gt;GE-US^FF_RECEIV_CF(ANN_R,-9,0,Y,RP,USD,M)&lt;/Q&gt;&lt;R&gt;10&lt;/R&gt;&lt;C&gt;1&lt;/C&gt;&lt;D xsi:type="xsd:double"&gt;-466&lt;/D&gt;&lt;D xsi:type="xsd:double"&gt;-774&lt;/D&gt;&lt;D xsi:type="xsd:double"&gt;-485&lt;/D&gt;&lt;D xsi:type="xsd:double"&gt;-1913&lt;/D&gt;&lt;D xsi:type="xsd:double"&gt;-52&lt;/D&gt;&lt;D xsi:type="xsd:double"&gt;1514&lt;/D&gt;&lt;D xsi:type="xsd:double"&gt;-2846&lt;/D&gt;&lt;D xsi:type="xsd:double"&gt;-358&lt;/D&gt;&lt;D xsi:type="xsd:double"&gt;-2851&lt;/D&gt;&lt;D xsi:type="xsd:double"&gt;-1319&lt;/D&gt;&lt;/FQL&gt;&lt;FQL&gt;&lt;Q&gt;GE-US^FF_INVEN_CF(ANN_R,-9,0,Y,RP,USD,M)&lt;/Q&gt;&lt;R&gt;10&lt;/R&gt;&lt;C&gt;1&lt;/C&gt;&lt;D xsi:type="xsd:double"&gt;-1168&lt;/D&gt;&lt;D xsi:type="xsd:double"&gt;-1274&lt;/D&gt;&lt;D xsi:type="xsd:double"&gt;-1368&lt;/D&gt;&lt;D xsi:type="xsd:double"&gt;-872&lt;/D&gt;&lt;D xsi:type="xsd:double"&gt;-314&lt;/D&gt;&lt;D xsi:type="xsd:double"&gt;-1389&lt;/D&gt;&lt;D xsi:type="xsd:double"&gt;1183&lt;/D&gt;&lt;D xsi:type="xsd:double"&gt;-356&lt;/D&gt;&lt;D xsi:type="xsd:double"&gt;-1581&lt;/D&gt;&lt;D xsi:type="xsd:double"&gt;1105&lt;/D&gt;&lt;/FQL&gt;&lt;FQL&gt;&lt;Q&gt;GE-US^FF_PAY_ACCT_CF(ANN_R,-9,0,Y,RP,USD,M)&lt;/Q&gt;&lt;R&gt;10&lt;/R&gt;&lt;C&gt;1&lt;/C&gt;&lt;D xsi:type="xsd:double"&gt;1235&lt;/D&gt;&lt;D xsi:type="xsd:double"&gt;-424&lt;/D&gt;&lt;D xsi:type="xsd:double"&gt;360&lt;/D&gt;&lt;D xsi:type="xsd:double"&gt;565&lt;/D&gt;&lt;D xsi:type="xsd:double"&gt;-541&lt;/D&gt;&lt;D xsi:type="xsd:double"&gt;1198&lt;/D&gt;&lt;D xsi:type="xsd:double"&gt;-394&lt;/D&gt;&lt;D xsi:type="xsd:double"&gt;1545&lt;/D&gt;&lt;D xsi:type="xsd:double"&gt;2674&lt;/D&gt;&lt;D xsi:type="xsd:double"&gt;-575&lt;/D&gt;&lt;/FQL&gt;&lt;FQL&gt;&lt;Q&gt;GE-US^FF_PAY_TAX_CF(ANN_R,-9,0,Y,RP,USD,M)&lt;/Q&gt;&lt;R&gt;10&lt;/R&gt;&lt;C&gt;1&lt;/C&gt;&lt;D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xsi:type="xsd:string"&gt;@NA&lt;/D&gt;&lt;/FQL&gt;&lt;FQL&gt;&lt;Q&gt;GE-US^FF_ACCR_EXP_CF(ANN_R,-9,0,Y,RP,USD,M)&lt;/Q&gt;&lt;R&gt;10&lt;/R&gt;&lt;C&gt;1&lt;/C&gt;&lt;D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xsi:type="xsd:string"&gt;@NA&lt;/D&gt;&lt;/FQL&gt;&lt;FQL&gt;&lt;Q&gt;GE-US^FF_WKCAP_ASSETS_OTH(ANN_R,-9,0,Y,RP,USD,M)&lt;/Q&gt;&lt;R&gt;10&lt;/R&gt;&lt;C&gt;1&lt;/C&gt;&lt;D xsi:type="xsd:double"&gt;2689&lt;/D&gt;&lt;D xsi:type="xsd:double"&gt;2971&lt;/D&gt;&lt;D xsi:type="xsd:double"&gt;6711&lt;/D&gt;&lt;D xsi:type="xsd:double"&gt;4804&lt;/D&gt;&lt;D xsi:type="xsd:double"&gt;6164&lt;/D&gt;&lt;D xsi:type="xsd:double"&gt;-10820&lt;/D&gt;&lt;D xsi:type="xsd:double"&gt;12865&lt;/D&gt;&lt;D xsi:type="xsd:double"&gt;665&lt;/D&gt;&lt;D xsi:type="xsd:double"&gt;4291&lt;/D&gt;&lt;D xsi:type="xsd:double"&gt;3455&lt;/D&gt;&lt;/FQL&gt;&lt;FQL&gt;&lt;Q&gt;GE-US^FF_OPER_CF(ANN_R,-9,0,Y,RP,USD,M)&lt;/Q&gt;&lt;R&gt;10&lt;/R&gt;&lt;C&gt;1&lt;/C&gt;&lt;D xsi:type="xsd:double"&gt;33359&lt;/D&gt;&lt;D xsi:type="xsd:double"&gt;31331&lt;/D&gt;&lt;D xsi:type="xsd:double"&gt;28579&lt;/D&gt;&lt;D xsi:type="xsd:double"&gt;27709&lt;/D&gt;&lt;D xsi:type="xsd:double"&gt;19891&lt;/D&gt;&lt;D xsi:type="xsd:double"&gt;-244&lt;/D&gt;&lt;D xsi:type="xsd:double"&gt;6032&lt;/D&gt;&lt;D xsi:type="xsd:double"&gt;4978&lt;/D&gt;&lt;D xsi:type="xsd:double"&gt;8772&lt;/D&gt;&lt;D xsi:type="xsd:double"&gt;3597&lt;/D&gt;&lt;/FQL&gt;&lt;FQL&gt;&lt;Q&gt;GE-US^(FF_OPER_CF(ANN_R,-9,0,Y,RP,LOCAL,M)/FF_SALES(ANN_R,-9,0,Y,RP,LOCAL,M))*100&lt;/Q&gt;&lt;R&gt;10&lt;/R&gt;&lt;C&gt;1&lt;/C&gt;&lt;D xsi:type="xsd:double"&gt;23.3899636098471&lt;/D&gt;&lt;D xsi:type="xsd:double"&gt;21.6219013967868&lt;/D&gt;&lt;D xsi:type="xsd:double"&gt;20.0263476914237&lt;/D&gt;&lt;D xsi:type="xsd:double"&gt;23.680274841257&lt;/D&gt;&lt;D xsi:type="xsd:double"&gt;17.159839884054&lt;/D&gt;&lt;D xsi:type="xsd:double"&gt;-0.203555548140053&lt;/D&gt;&lt;D xsi:type="xsd:double"&gt;5.10135906565294&lt;/D&gt;&lt;D xsi:type="xsd:double"&gt;5.0568874441284&lt;/D&gt;&lt;D xsi:type="xsd:double"&gt;9.22834148650781&lt;/D&gt;&lt;D xsi:type="xsd:double"&gt;4.50227178851714&lt;/D&gt;&lt;/FQL&gt;&lt;FQL&gt;&lt;Q&gt;GE-US^FF_CF_ROIC(ANN_R,-9,0,Y,RP,LOCAL,M)&lt;/Q&gt;&lt;R&gt;10&lt;/R&gt;&lt;C&gt;1&lt;/C&gt;&lt;D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xsi:type="xsd:double"&gt;3.45271119899404&lt;/D&gt;&lt;/FQL&gt;&lt;FQL&gt;&lt;Q&gt;GE-US^-FF_CAPEX(ANN_R,-9,0,Y,RP,USD,M)&lt;/Q&gt;&lt;R&gt;10&lt;/R&gt;&lt;C&gt;1&lt;/C&gt;&lt;D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xsi:type="xsd:double"&gt;-7920&lt;/D&gt;&lt;D xsi:type="xsd:double"&gt;-6947&lt;/D&gt;&lt;D xsi:type="xsd:double"&gt;-6095&lt;/D&gt;&lt;D xsi:type="xsd:double"&gt;-3403&lt;/D&gt;&lt;/FQL&gt;&lt;FQL&gt;&lt;Q&gt;GE-US^-FF_CAPEX_FIX(ANN_R,-9,0,Y,RP,USD,M)&lt;/Q&gt;&lt;R&gt;10&lt;/R&gt;&lt;C&gt;1&lt;/C&gt;&lt;D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xsi:type="xsd:double"&gt;-7371&lt;/D&gt;&lt;D xsi:type="xsd:double"&gt;-6627&lt;/D&gt;&lt;D xsi:type="xsd:double"&gt;-5813&lt;/D&gt;&lt;D xsi:type="xsd:double"&gt;-3252&lt;/D&gt;&lt;/FQL&gt;&lt;FQL&gt;&lt;Q&gt;GE-US^-FF_CAPEX_OTH(ANN_R,-9,0,Y,RP,USD,M)&lt;/Q&gt;&lt;R&gt;10&lt;/R&gt;&lt;C&gt;1&lt;/C&gt;&lt;D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xsi:type="xsd:double"&gt;-549&lt;/D&gt;&lt;D xsi:type="xsd:double"&gt;-320&lt;/D&gt;&lt;D xsi:type="xsd:double"&gt;-282&lt;/D&gt;&lt;D xsi:type="xsd:double"&gt;-151&lt;/D&gt;&lt;/FQL&gt;&lt;FQL&gt;&lt;Q&gt;GE-US^(FF_CAPEX(ANN_R,-9,0,Y,RP,LOCAL,M)/FF_SALES(ANN_R,-9,0,Y,RP,LOCAL,M))*100&lt;/Q&gt;&lt;R&gt;10&lt;/R&gt;&lt;C&gt;1&lt;/C&gt;&lt;D xsi:type="xsd:double"&gt;8.86966155054305&lt;/D&gt;&lt;D xsi:type="xsd:double"&gt;10.4386352343621&lt;/D&gt;&lt;D xsi:type="xsd:double"&gt;9.4305114675524&lt;/D&gt;&lt;D xsi:type="xsd:double"&gt;6.09675847982703&lt;/D&gt;&lt;D xsi:type="xsd:double"&gt;6.3054280686014&lt;/D&gt;&lt;D xsi:type="xsd:double"&gt;6.00572291418132&lt;/D&gt;&lt;D xsi:type="xsd:double"&gt;6.6980709217459&lt;/D&gt;&lt;D xsi:type="xsd:double"&gt;7.05709061357172&lt;/D&gt;&lt;D xsi:type="xsd:double"&gt;6.41207721845247&lt;/D&gt;&lt;D xsi:type="xsd:double"&gt;4.25944701037638&lt;/D&gt;&lt;/FQL&gt;&lt;FQL&gt;&lt;Q&gt;GE-US^-FF_ACQ_BUS_CF(ANN_R,-9,0,Y,RP,USD,M)&lt;/Q&gt;&lt;R&gt;10&lt;/R&gt;&lt;C&gt;1&lt;/C&gt;&lt;D xsi:type="xsd:double"&gt;-11202&lt;/D&gt;&lt;D xsi:type="xsd:double"&gt;-1456&lt;/D&gt;&lt;D xsi:type="xsd:double"&gt;-1642&lt;/D&gt;&lt;D xsi:type="xsd:double"&gt;-2091&lt;/D&gt;&lt;D xsi:type="xsd:double"&gt;-12027&lt;/D&gt;&lt;D xsi:type="xsd:double"&gt;-2271&lt;/D&gt;&lt;D xsi:type="xsd:double"&gt;-6087&lt;/D&gt;&lt;D xsi:type="xsd:double"&gt;-1&lt;/D&gt;&lt;D xsi:type="xsd:double"&gt;-68&lt;/D&gt;&lt;D xsi:type="xsd:double"&gt;-85&lt;/D&gt;&lt;/FQL&gt;&lt;FQL&gt;&lt;Q&gt;GE-US^FF_SALE_ASSETS_BUS_CF(ANN_R,-9,0,Y,RP,USD,M)&lt;/Q&gt;&lt;R&gt;10&lt;/R&gt;&lt;C&gt;1&lt;/C&gt;&lt;D xsi:type="xsd:double"&gt;23723&lt;/D&gt;&lt;D xsi:type="xsd:double"&gt;10045&lt;/D&gt;&lt;D xsi:type="xsd:double"&gt;9735&lt;/D&gt;&lt;D xsi:type="xsd:double"&gt;3785&lt;/D&gt;&lt;D xsi:type="xsd:double"&gt;84918&lt;/D&gt;&lt;D xsi:type="xsd:double"&gt;69671&lt;/D&gt;&lt;D xsi:type="xsd:double"&gt;10438&lt;/D&gt;&lt;D xsi:type="xsd:double"&gt;12547&lt;/D&gt;&lt;D xsi:type="xsd:double"&gt;17648&lt;/D&gt;&lt;D xsi:type="xsd:double"&gt;22657&lt;/D&gt;&lt;/FQL&gt;&lt;FQL&gt;&lt;Q&gt;GE-US^FF_INVEST_PURCH_SALE_CF(ANN_R,-9,0,Y,RP,USD,M)&lt;/Q&gt;&lt;R&gt;10&lt;/R&gt;&lt;C&gt;1&lt;/C&gt;&lt;D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xsi:type="xsd:double"&gt;-1616&lt;/D&gt;&lt;D xsi:type="xsd:double"&gt;-1352&lt;/D&gt;&lt;/FQL&gt;&lt;FQL&gt;&lt;Q&gt;GE-US^FF_INVEST_PURCH_CF(ANN_R,-9,0,Y,RP,USD,M)&lt;/Q&gt;&lt;R&gt;10&lt;/R&gt;&lt;C&gt;1&lt;/C&gt;&lt;D xsi:type="xsd:double"&gt;0&lt;/D&gt;&lt;D xsi:type="xsd:double"&gt;0&lt;/D&gt;&lt;D xsi:type="xsd:string"&gt;@NA&lt;/D&gt;&lt;D xsi:type="xsd:double"&gt;0&lt;/D&gt;&lt;D xsi:type="xsd:double"&gt;0&lt;/D&gt;&lt;D xsi:type="xsd:double"&gt;0&lt;/D&gt;&lt;D xsi:type="xsd:double"&gt;0&lt;/D&gt;&lt;D xsi:type="xsd:double"&gt;0&lt;/D&gt;&lt;D xsi:type="xsd:double"&gt;1616&lt;/D&gt;&lt;D xsi:type="xsd:double"&gt;1352&lt;/D&gt;&lt;/FQL&gt;&lt;FQL&gt;&lt;Q&gt;GE-US^FF_INVEST_SALE_CF(ANN_R,-9,0,Y,RP,USD,M)&lt;/Q&gt;&lt;R&gt;10&lt;/R&gt;&lt;C&gt;1&lt;/C&gt;&lt;D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xsi:type="xsd:double"&gt;0&lt;/D&gt;&lt;/FQL&gt;&lt;FQL&gt;&lt;Q&gt;GE-US^FF_INVEST_USES_CF(ANN_R,-9,0,Y,RP,USD,M)+'FF_INVEST_SOURCES_CF(ANN_R,-9,0,Y,RP,USD,M)&lt;/Q&gt;&lt;R&gt;10&lt;/R&gt;&lt;C&gt;1&lt;/C&gt;&lt;D xsi:type="xsd:double"&gt;20011&lt;/D&gt;&lt;D xsi:type="xsd:double"&gt;17839&lt;/D&gt;&lt;D xsi:type="xsd:double"&gt;17783&lt;/D&gt;&lt;D xsi:type="xsd:double"&gt;406&lt;/D&gt;&lt;D xsi:type="xsd:double"&gt;-6094&lt;/D&gt;&lt;D xsi:type="xsd:double"&gt;-10999&lt;/D&gt;&lt;D xsi:type="xsd:double"&gt;10133&lt;/D&gt;&lt;D xsi:type="xsd:double"&gt;12681&lt;/D&gt;&lt;D xsi:type="xsd:double"&gt;-930&lt;/D&gt;&lt;D xsi:type="xsd:double"&gt;-1175&lt;/D&gt;&lt;/FQL&gt;&lt;FQL&gt;&lt;Q&gt;GE-US^FF_INVEST_USES_CF(ANN_R,-9,0,Y,RP,USD,M)&lt;/Q&gt;&lt;R&gt;10&lt;/R&gt;&lt;C&gt;1&lt;/C&gt;&lt;D xsi:type="xsd:double"&gt;-735&lt;/D&gt;&lt;D xsi:type="xsd:double"&gt;-97&lt;/D&gt;&lt;D xsi:type="xsd:double"&gt;0&lt;/D&gt;&lt;D xsi:type="xsd:double"&gt;-24264&lt;/D&gt;&lt;D xsi:type="xsd:double"&gt;-7138&lt;/D&gt;&lt;D xsi:type="xsd:double"&gt;-13412&lt;/D&gt;&lt;D xsi:type="xsd:double"&gt;0&lt;/D&gt;&lt;D xsi:type="xsd:double"&gt;-645&lt;/D&gt;&lt;D xsi:type="xsd:double"&gt;-2047&lt;/D&gt;&lt;D xsi:type="xsd:double"&gt;-1175&lt;/D&gt;&lt;/FQL&gt;&lt;FQL&gt;&lt;Q&gt;GE-US^FF_INVEST_SOURCES_CF(ANN_R,-9,0,Y,RP,USD,M)&lt;/Q&gt;&lt;R&gt;10&lt;/R&gt;&lt;C&gt;1&lt;/C&gt;&lt;D xsi:type="xsd:double"&gt;20746&lt;/D&gt;&lt;D xsi:type="xsd:double"&gt;17936&lt;/D&gt;&lt;D xsi:type="xsd:double"&gt;17783&lt;/D&gt;&lt;D xsi:type="xsd:double"&gt;24670&lt;/D&gt;&lt;D xsi:type="xsd:double"&gt;1044&lt;/D&gt;&lt;D xsi:type="xsd:double"&gt;2413&lt;/D&gt;&lt;D xsi:type="xsd:double"&gt;10133&lt;/D&gt;&lt;D xsi:type="xsd:double"&gt;13326&lt;/D&gt;&lt;D xsi:type="xsd:double"&gt;1117&lt;/D&gt;&lt;D xsi:type="xsd:double"&gt;0&lt;/D&gt;&lt;/FQL&gt;&lt;FQL&gt;&lt;Q&gt;GE-US^FF_INVEST_CF(ANN_R,-9,0,Y,RP,USD,M)&lt;/Q&gt;&lt;R&gt;10&lt;/R&gt;&lt;C&gt;1&lt;/C&gt;&lt;D xsi:type="xsd:double"&gt;19882&lt;/D&gt;&lt;D xsi:type="xsd:double"&gt;11302&lt;/D&gt;&lt;D xsi:type="xsd:double"&gt;29117&lt;/D&gt;&lt;D xsi:type="xsd:double"&gt;-5034&lt;/D&gt;&lt;D xsi:type="xsd:double"&gt;59488&lt;/D&gt;&lt;D xsi:type="xsd:double"&gt;49202&lt;/D&gt;&lt;D xsi:type="xsd:double"&gt;6564&lt;/D&gt;&lt;D xsi:type="xsd:double"&gt;18280&lt;/D&gt;&lt;D xsi:type="xsd:double"&gt;8939&lt;/D&gt;&lt;D xsi:type="xsd:double"&gt;16642&lt;/D&gt;&lt;/FQL&gt;&lt;FQL&gt;&lt;Q&gt;GE-US^(FF_INVEST_CF(ANN_R,-9,0,Y,RP,LOCAL,M)/FF_SALES(ANN_R,-9,0,Y,RP,LOCAL,M))*100&lt;/Q&gt;&lt;R&gt;10&lt;/R&gt;&lt;C&gt;1&lt;/C&gt;&lt;D xsi:type="xsd:double"&gt;13.9404435531934&lt;/D&gt;&lt;D xsi:type="xsd:double"&gt;7.79964666261801&lt;/D&gt;&lt;D xsi:type="xsd:double"&gt;20.4033439144541&lt;/D&gt;&lt;D xsi:type="xsd:double"&gt;-4.30208609299821&lt;/D&gt;&lt;D xsi:type="xsd:double"&gt;51.3199213223369&lt;/D&gt;&lt;D xsi:type="xsd:double"&gt;41.0464757360118&lt;/D&gt;&lt;D xsi:type="xsd:double"&gt;5.55127999120455&lt;/D&gt;&lt;D xsi:type="xsd:double"&gt;18.5696871190573&lt;/D&gt;&lt;D xsi:type="xsd:double"&gt;9.40402924622587&lt;/D&gt;&lt;D xsi:type="xsd:double"&gt;20.8303606073123&lt;/D&gt;&lt;/FQL&gt;&lt;FQL&gt;&lt;Q&gt;GE-US^-FF_DIV_CF(ANN_R,-9,0,Y,RP,USD,M)&lt;/Q&gt;&lt;R&gt;10&lt;/R&gt;&lt;C&gt;1&lt;/C&gt;&lt;D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xsi:type="xsd:double"&gt;-648&lt;/D&gt;&lt;/FQL&gt;&lt;FQL&gt;&lt;Q&gt;GE-US^-FF_DIV_COM_CF(ANN_R,-9,0,Y,RP,USD,M)&lt;/Q&gt;&lt;R&gt;10&lt;/R&gt;&lt;C&gt;1&lt;/C&gt;&lt;D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xsi:type="xsd:double"&gt;-648&lt;/D&gt;&lt;/FQL&gt;&lt;FQL&gt;&lt;Q&gt;GE-US^-FF_DIV_PFD_CF(ANN_R,-9,0,Y,RP,USD,M)&lt;/Q&gt;&lt;R&gt;10&lt;/R&gt;&lt;C&gt;1&lt;/C&gt;&lt;D xsi:type="xsd:double"&gt;0&lt;/D&gt;&lt;D xsi:type="xsd:double"&gt;0&lt;/D&gt;&lt;D xsi:type="xsd:double"&gt;0&lt;/D&gt;&lt;D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xsi:type="xsd:string"&gt;@NA&lt;/D&gt;&lt;/FQL&gt;&lt;FQL&gt;&lt;Q&gt;GE-US^PCTCHG(FF_DIV_CF(ANN_R,-9,0,Y,RP,LOCAL,M),FF_DIV_CF(ANN_R,-1,0-1,Y,RP,LOCAL,M))&lt;/Q&gt;&lt;R&gt;10&lt;/R&gt;&lt;C&gt;1&lt;/C&gt;&lt;D xsi:type="xsd:double"&gt;895.06934&lt;/D&gt;&lt;D xsi:type="xsd:double"&gt;1007.70416&lt;/D&gt;&lt;D xsi:type="xsd:double"&gt;1105.0847&lt;/D&gt;&lt;D xsi:type="xsd:double"&gt;1263.9446&lt;/D&gt;&lt;D xsi:type="xsd:double"&gt;1332.2034&lt;/D&gt;&lt;D xsi:type="xsd:double"&gt;1256.8567&lt;/D&gt;&lt;D xsi:type="xsd:double"&gt;1232.8197&lt;/D&gt;&lt;D xsi:type="xsd:double"&gt;589.3683&lt;/D&gt;&lt;D xsi:type="xsd:double"&gt;0&lt;/D&gt;&lt;D xsi:type="xsd:double"&gt;-0.1540832&lt;/D&gt;&lt;/FQL&gt;&lt;FQL&gt;&lt;Q&gt;GE-US^FF_STK_CHG_CF(ANN_R,-9,0,Y,RP,USD,M)&lt;/Q&gt;&lt;R&gt;10&lt;/R&gt;&lt;C&gt;1&lt;/C&gt;&lt;D xsi:type="xsd:double"&gt;-1456&lt;/D&gt;&lt;D xsi:type="xsd:double"&gt;-204&lt;/D&gt;&lt;D xsi:type="xsd:double"&gt;-8288&lt;/D&gt;&lt;D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xsi:type="xsd:double"&gt;0&lt;/D&gt;&lt;/FQL&gt;&lt;FQL&gt;&lt;Q&gt;GE-US^-FF_STK_PURCH_CF(ANN_R,-9,0,Y,RP,USD,M)&lt;/Q&gt;&lt;R&gt;10&lt;/R&gt;&lt;C&gt;1&lt;/C&gt;&lt;D xsi:type="xsd:double"&gt;-1456&lt;/D&gt;&lt;D xsi:type="xsd:double"&gt;-4164&lt;/D&gt;&lt;D xsi:type="xsd:double"&gt;-9278&lt;/D&gt;&lt;D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xsi:type="xsd:double"&gt;0&lt;/D&gt;&lt;/FQL&gt;&lt;FQL&gt;&lt;Q&gt;GE-US^FF_STK_SALE_CF(ANN_R,-9,0,Y,RP,USD,M)&lt;/Q&gt;&lt;R&gt;10&lt;/R&gt;&lt;C&gt;1&lt;/C&gt;&lt;D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xsi:type="xsd:double"&gt;0&lt;/D&gt;&lt;/FQL&gt;&lt;FQL&gt;&lt;Q&gt;GE-US^FF_STK_SALE_XOPT_CF(ANN_R,-9,0,Y,RP,USD,M)&lt;/Q&gt;&lt;R&gt;10&lt;/R&gt;&lt;C&gt;1&lt;/C&gt;&lt;D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xsi:type="xsd:double"&gt;0&lt;/D&gt;&lt;/FQL&gt;&lt;FQL&gt;&lt;Q&gt;GE-US^FF_OPT_WRNT_CF(ANN_R,-9,0,Y,RP,USD,M)&lt;/Q&gt;&lt;R&gt;10&lt;/R&gt;&lt;C&gt;1&lt;/C&gt;&lt;D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xsi:type="xsd:double"&gt;0&lt;/D&gt;&lt;/FQL&gt;&lt;FQL&gt;&lt;Q&gt;GE-US^FF_DEBT_CF(ANN_R,-9,0,Y,RP,USD,M)&lt;/Q&gt;&lt;R&gt;10&lt;/R&gt;&lt;C&gt;1&lt;/C&gt;&lt;D xsi:type="xsd:double"&gt;-35908&lt;/D&gt;&lt;D xsi:type="xsd:double"&gt;-40722&lt;/D&gt;&lt;D xsi:type="xsd:double"&gt;-28102&lt;/D&gt;&lt;D xsi:type="xsd:double"&gt;-30190&lt;/D&gt;&lt;D xsi:type="xsd:double"&gt;-57546&lt;/D&gt;&lt;D xsi:type="xsd:double"&gt;-58411&lt;/D&gt;&lt;D xsi:type="xsd:double"&gt;-8952&lt;/D&gt;&lt;D xsi:type="xsd:double"&gt;-21542&lt;/D&gt;&lt;D xsi:type="xsd:double"&gt;-14102&lt;/D&gt;&lt;D xsi:type="xsd:double"&gt;-19016&lt;/D&gt;&lt;/FQL&gt;&lt;FQL&gt;&lt;Q&gt;GE-US^FF_DEBT_ST_CF(ANN_R,-9,0,Y,RP,USD,M)&lt;/Q&gt;&lt;R&gt;10&lt;/R&gt;&lt;C&gt;1&lt;/C&gt;&lt;D xsi:type="xsd:double"&gt;5951&lt;/D&gt;&lt;D xsi:type="xsd:double"&gt;-2231&lt;/D&gt;&lt;D xsi:type="xsd:double"&gt;-14230&lt;/D&gt;&lt;D xsi:type="xsd:double"&gt;-6409&lt;/D&gt;&lt;D xsi:type="xsd:double"&gt;-24459&lt;/D&gt;&lt;D xsi:type="xsd:double"&gt;-1135&lt;/D&gt;&lt;D xsi:type="xsd:double"&gt;1794&lt;/D&gt;&lt;D xsi:type="xsd:double"&gt;-4343&lt;/D&gt;&lt;D xsi:type="xsd:double"&gt;280&lt;/D&gt;&lt;D xsi:type="xsd:double"&gt;-4168&lt;/D&gt;&lt;/FQL&gt;&lt;FQL&gt;&lt;Q&gt;GE-US^FF_DEBT_LT_CF(ANN_R,-9,0,Y,RP,USD,M)&lt;/Q&gt;&lt;R&gt;10&lt;/R&gt;&lt;C&gt;1&lt;/C&gt;&lt;D xsi:type="xsd:double"&gt;-41859&lt;/D&gt;&lt;D xsi:type="xsd:double"&gt;-38491&lt;/D&gt;&lt;D xsi:type="xsd:double"&gt;-13872&lt;/D&gt;&lt;D xsi:type="xsd:double"&gt;-23781&lt;/D&gt;&lt;D xsi:type="xsd:double"&gt;-33087&lt;/D&gt;&lt;D xsi:type="xsd:double"&gt;-57276&lt;/D&gt;&lt;D xsi:type="xsd:double"&gt;-10746&lt;/D&gt;&lt;D xsi:type="xsd:double"&gt;-17199&lt;/D&gt;&lt;D xsi:type="xsd:double"&gt;-14382&lt;/D&gt;&lt;D xsi:type="xsd:double"&gt;-14848&lt;/D&gt;&lt;/FQL&gt;&lt;FQL&gt;&lt;Q&gt;GE-US^FF_DEBT_LT_ISS_CF(ANN_R,-9,0,Y,RP,USD,M)&lt;/Q&gt;&lt;R&gt;10&lt;/R&gt;&lt;C&gt;1&lt;/C&gt;&lt;D xsi:type="xsd:double"&gt;43847&lt;/D&gt;&lt;D xsi:type="xsd:double"&gt;65451&lt;/D&gt;&lt;D xsi:type="xsd:double"&gt;47589&lt;/D&gt;&lt;D xsi:type="xsd:double"&gt;14629&lt;/D&gt;&lt;D xsi:type="xsd:double"&gt;13951&lt;/D&gt;&lt;D xsi:type="xsd:double"&gt;1492&lt;/D&gt;&lt;D xsi:type="xsd:double"&gt;14876&lt;/D&gt;&lt;D xsi:type="xsd:double"&gt;3120&lt;/D&gt;&lt;D xsi:type="xsd:double"&gt;2185&lt;/D&gt;&lt;D xsi:type="xsd:double"&gt;15028&lt;/D&gt;&lt;/FQL&gt;&lt;FQL&gt;&lt;Q&gt;GE-US^-FF_DEBT_LT_REDUCT_CF(ANN_R,-9,0,Y,RP,USD,M)&lt;/Q&gt;&lt;R&gt;10&lt;/R&gt;&lt;C&gt;1&lt;/C&gt;&lt;D xsi:type="xsd:double"&gt;-85706&lt;/D&gt;&lt;D xsi:type="xsd:double"&gt;-103942&lt;/D&gt;&lt;D xsi:type="xsd:double"&gt;-61461&lt;/D&gt;&lt;D xsi:type="xsd:double"&gt;-38410&lt;/D&gt;&lt;D xsi:type="xsd:double"&gt;-47038&lt;/D&gt;&lt;D xsi:type="xsd:double"&gt;-58768&lt;/D&gt;&lt;D xsi:type="xsd:double"&gt;-25622&lt;/D&gt;&lt;D xsi:type="xsd:double"&gt;-20319&lt;/D&gt;&lt;D xsi:type="xsd:double"&gt;-16567&lt;/D&gt;&lt;D xsi:type="xsd:double"&gt;-29876&lt;/D&gt;&lt;/FQL&gt;&lt;FQL&gt;&lt;Q&gt;GE-US^FF_FIN_ACTIV_OTH_CF(ANN_R,-9,0,Y,RP,USD,M)&lt;/Q&gt;&lt;R&gt;10&lt;/R&gt;&lt;C&gt;1&lt;/C&gt;&lt;D xsi:type="xsd:double"&gt;-3041&lt;/D&gt;&lt;D xsi:type="xsd:double"&gt;-2959&lt;/D&gt;&lt;D xsi:type="xsd:double"&gt;-1362&lt;/D&gt;&lt;D xsi:type="xsd:double"&gt;23304&lt;/D&gt;&lt;D xsi:type="xsd:double"&gt;-8114&lt;/D&gt;&lt;D xsi:type="xsd:double"&gt;-485&lt;/D&gt;&lt;D xsi:type="xsd:double"&gt;1006&lt;/D&gt;&lt;D xsi:type="xsd:double"&gt;-5774&lt;/D&gt;&lt;D xsi:type="xsd:double"&gt;-1382&lt;/D&gt;&lt;D xsi:type="xsd:double"&gt;-188&lt;/D&gt;&lt;/FQL&gt;&lt;FQL&gt;&lt;Q&gt;GE-US^-FF_FIN_USES_CF(ANN_R,-9,0,Y,RP,USD,M)&lt;/Q&gt;&lt;R&gt;10&lt;/R&gt;&lt;C&gt;1&lt;/C&gt;&lt;D xsi:type="xsd:double"&gt;-9789&lt;/D&gt;&lt;D xsi:type="xsd:double"&gt;-2959&lt;/D&gt;&lt;D xsi:type="xsd:double"&gt;-1418&lt;/D&gt;&lt;D xsi:type="xsd:double"&gt;-652&lt;/D&gt;&lt;D xsi:type="xsd:double"&gt;-8114&lt;/D&gt;&lt;D xsi:type="xsd:double"&gt;-1274&lt;/D&gt;&lt;D xsi:type="xsd:double"&gt;-903&lt;/D&gt;&lt;D xsi:type="xsd:double"&gt;-5774&lt;/D&gt;&lt;D xsi:type="xsd:double"&gt;-1382&lt;/D&gt;&lt;D xsi:type="xsd:double"&gt;-189&lt;/D&gt;&lt;/FQL&gt;&lt;FQL&gt;&lt;Q&gt;GE-US^FF_FIN_SOURCES_CF(ANN_R,-9,0,Y,RP,USD,M)&lt;/Q&gt;&lt;R&gt;10&lt;/R&gt;&lt;C&gt;1&lt;/C&gt;&lt;D xsi:type="xsd:double"&gt;6748&lt;/D&gt;&lt;D xsi:type="xsd:double"&gt;0&lt;/D&gt;&lt;D xsi:type="xsd:double"&gt;56&lt;/D&gt;&lt;D xsi:type="xsd:double"&gt;23956&lt;/D&gt;&lt;D xsi:type="xsd:double"&gt;0&lt;/D&gt;&lt;D xsi:type="xsd:double"&gt;789&lt;/D&gt;&lt;D xsi:type="xsd:double"&gt;1909&lt;/D&gt;&lt;D xsi:type="xsd:double"&gt;0&lt;/D&gt;&lt;D xsi:type="xsd:double"&gt;0&lt;/D&gt;&lt;D xsi:type="xsd:double"&gt;1&lt;/D&gt;&lt;/FQL&gt;&lt;FQL&gt;&lt;Q&gt;GE-US^FF_FIN_CF(ANN_R,-9,0,Y,RP,USD,M)&lt;/Q&gt;&lt;R&gt;10&lt;/R&gt;&lt;C&gt;1&lt;/C&gt;&lt;D xsi:type="xsd:double"&gt;-46863&lt;/D&gt;&lt;D xsi:type="xsd:double"&gt;-51074&lt;/D&gt;&lt;D xsi:type="xsd:double"&gt;-45573&lt;/D&gt;&lt;D xsi:type="xsd:double"&gt;-16956&lt;/D&gt;&lt;D xsi:type="xsd:double"&gt;-76054&lt;/D&gt;&lt;D xsi:type="xsd:double"&gt;-89131&lt;/D&gt;&lt;D xsi:type="xsd:double"&gt;-19146&lt;/D&gt;&lt;D xsi:type="xsd:double"&gt;-31807&lt;/D&gt;&lt;D xsi:type="xsd:double"&gt;-16133&lt;/D&gt;&lt;D xsi:type="xsd:double"&gt;-19852&lt;/D&gt;&lt;/FQL&gt;&lt;FQL&gt;&lt;Q&gt;GE-US^(FF_FIN_CF(ANN_R,-9,0,Y,RP,LOCAL,M)/FF_SALES(ANN_R,-9,0,Y,RP,LOCAL,M))*100&lt;/Q&gt;&lt;R&gt;10&lt;/R&gt;&lt;C&gt;1&lt;/C&gt;&lt;D xsi:type="xsd:double"&gt;-32.8584149599288&lt;/D&gt;&lt;D xsi:type="xsd:double"&gt;-35.2467840777342&lt;/D&gt;&lt;D xsi:type="xsd:double"&gt;-31.9346633311611&lt;/D&gt;&lt;D xsi:type="xsd:double"&gt;-14.4906976147949&lt;/D&gt;&lt;D xsi:type="xsd:double"&gt;-65.6113047379137&lt;/D&gt;&lt;D xsi:type="xsd:double"&gt;-74.3570063986519&lt;/D&gt;&lt;D xsi:type="xsd:double"&gt;-16.1920790237054&lt;/D&gt;&lt;D xsi:type="xsd:double"&gt;-32.3110524177164&lt;/D&gt;&lt;D xsi:type="xsd:double"&gt;-16.972279206775&lt;/D&gt;&lt;D xsi:type="xsd:double"&gt;-24.848234513662&lt;/D&gt;&lt;/FQL&gt;&lt;FQL&gt;&lt;Q&gt;GE-US^FF_FOR_EXCH_CF(ANN_R,-9,0,Y,RP,USD,M)&lt;/Q&gt;&lt;R&gt;10&lt;/R&gt;&lt;C&gt;1&lt;/C&gt;&lt;D xsi:type="xsd:double"&gt;-841&lt;/D&gt;&lt;D xsi:type="xsd:double"&gt;1278&lt;/D&gt;&lt;D xsi:type="xsd:double"&gt;-795&lt;/D&gt;&lt;D xsi:type="xsd:double"&gt;-3495&lt;/D&gt;&lt;D xsi:type="xsd:double"&gt;-3463&lt;/D&gt;&lt;D xsi:type="xsd:double"&gt;-1148&lt;/D&gt;&lt;D xsi:type="xsd:double"&gt;890&lt;/D&gt;&lt;D xsi:type="xsd:double"&gt;-628&lt;/D&gt;&lt;D xsi:type="xsd:double"&gt;-50&lt;/D&gt;&lt;D xsi:type="xsd:double"&gt;145&lt;/D&gt;&lt;/FQL&gt;&lt;FQL&gt;&lt;Q&gt;GE-US^FF_MISC_FUNDS_CF(ANN_R,-9,0,Y,RP,USD,M)&lt;/Q&gt;&lt;R&gt;10&lt;/R&gt;&lt;C&gt;1&lt;/C&gt;&lt;D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xsi:type="xsd:double"&gt;0&lt;/D&gt;&lt;/FQL&gt;&lt;FQL&gt;&lt;Q&gt;GE-US^FF_CHG_CASH_CF(ANN_R,-9,0,Y,RP,USD,M)&lt;/Q&gt;&lt;R&gt;10&lt;/R&gt;&lt;C&gt;1&lt;/C&gt;&lt;D xsi:type="xsd:double"&gt;5537&lt;/D&gt;&lt;D xsi:type="xsd:double"&gt;-7163&lt;/D&gt;&lt;D xsi:type="xsd:double"&gt;11328&lt;/D&gt;&lt;D xsi:type="xsd:double"&gt;2224&lt;/D&gt;&lt;D xsi:type="xsd:double"&gt;-138&lt;/D&gt;&lt;D xsi:type="xsd:double"&gt;-41321&lt;/D&gt;&lt;D xsi:type="xsd:double"&gt;-5660&lt;/D&gt;&lt;D xsi:type="xsd:double"&gt;-9177&lt;/D&gt;&lt;D xsi:type="xsd:double"&gt;1528&lt;/D&gt;&lt;D xsi:type="xsd:double"&gt;532&lt;/D&gt;&lt;/FQL&gt;&lt;FQL&gt;&lt;Q&gt;GE-US^FF_FREE_CF(ANN_R+"_FCFE",-9,0,Y,RP,USD,M)&lt;/Q&gt;&lt;R&gt;10&lt;/R&gt;&lt;C&gt;1&lt;/C&gt;&lt;D xsi:type="xsd:double"&gt;20709&lt;/D&gt;&lt;D xsi:type="xsd:double"&gt;16205&lt;/D&gt;&lt;D xsi:type="xsd:double"&gt;15121&lt;/D&gt;&lt;D xsi:type="xsd:double"&gt;20575&lt;/D&gt;&lt;D xsi:type="xsd:double"&gt;12582&lt;/D&gt;&lt;D xsi:type="xsd:double"&gt;-7443&lt;/D&gt;&lt;D xsi:type="xsd:double"&gt;-1339&lt;/D&gt;&lt;D xsi:type="xsd:double"&gt;-1649&lt;/D&gt;&lt;D xsi:type="xsd:double"&gt;2959&lt;/D&gt;&lt;D xsi:type="xsd:double"&gt;345&lt;/D&gt;&lt;/FQL&gt;&lt;FQL&gt;&lt;Q&gt;GE-US^FF_FREE_PS_CF(ANN_R+"_FCFE",-9,0,Y,RP,USD,M)&lt;/Q&gt;&lt;R&gt;10&lt;/R&gt;&lt;C&gt;1&lt;/C&gt;&lt;D xsi:type="xsd:double"&gt;1.95&lt;/D&gt;&lt;D xsi:type="xsd:double"&gt;1.53398333964407&lt;/D&gt;&lt;D xsi:type="xsd:double"&gt;1.46962775779959&lt;/D&gt;&lt;D xsi:type="xsd:double"&gt;2.03250024696236&lt;/D&gt;&lt;D xsi:type="xsd:double"&gt;1.25619009584665&lt;/D&gt;&lt;D xsi:type="xsd:double"&gt;-0.815224534501643&lt;/D&gt;&lt;D xsi:type="xsd:double"&gt;-0.154138367675837&lt;/D&gt;&lt;D xsi:type="xsd:double"&gt;-0.189736509032332&lt;/D&gt;&lt;D xsi:type="xsd:double"&gt;0.339179275561669&lt;/D&gt;&lt;D xsi:type="xsd:double"&gt;0.0393790663166305&lt;/D&gt;&lt;/FQL&gt;&lt;FQL&gt;&lt;Q&gt;GE-US^FF_FCF_YLD(ANN_R+"_FCFE",-9,0,Y,RP,LOCAL,M)&lt;/Q&gt;&lt;R&gt;10&lt;/R&gt;&lt;C&gt;1&lt;/C&gt;&lt;D xsi:type="xsd:double"&gt;10.8877721943049&lt;/D&gt;&lt;D xsi:type="xsd:double"&gt;7.30816264718473&lt;/D&gt;&lt;D xsi:type="xsd:double"&gt;5.243053006777&lt;/D&gt;&lt;D xsi:type="xsd:double"&gt;8.04313512846206&lt;/D&gt;&lt;D xsi:type="xsd:double"&gt;4.03271298827174&lt;/D&gt;&lt;D xsi:type="xsd:double"&gt;-2.57982447627102&lt;/D&gt;&lt;D xsi:type="xsd:double"&gt;-0.883314427941762&lt;/D&gt;&lt;D xsi:type="xsd:double"&gt;-2.50642680359752&lt;/D&gt;&lt;D xsi:type="xsd:double"&gt;3.03924082044506&lt;/D&gt;&lt;D xsi:type="xsd:double"&gt;0.364620984413246&lt;/D&gt;&lt;/FQL&gt;&lt;FQL&gt;&lt;Q&gt;GE-US^FF_RESTATE_IND(ANN,-9,0,Y,RP,USD)&lt;/Q&gt;&lt;R&gt;1&lt;/R&gt;&lt;C&gt;1&lt;/C&gt;&lt;D xsi:type="xsd:string" /&gt;&lt;/FQL&gt;&lt;FQL&gt;&lt;Q&gt;GE-US^FF_CASH_ST(ANN_R,-9,0,Y,RP,USD,M)&lt;/Q&gt;&lt;R&gt;10&lt;/R&gt;&lt;C&gt;1&lt;/C&gt;&lt;D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xsi:type="xsd:double"&gt;45699&lt;/D&gt;&lt;D xsi:type="xsd:double"&gt;43949&lt;/D&gt;&lt;/FQL&gt;&lt;FQL&gt;&lt;Q&gt;GE-US^FF_CASH_ONLY(ANN_R,-9,0,Y,RP,USD,M)&lt;/Q&gt;&lt;R&gt;10&lt;/R&gt;&lt;C&gt;1&lt;/C&gt;&lt;D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xsi:type="xsd:double"&gt;35811&lt;/D&gt;&lt;D xsi:type="xsd:double"&gt;36630&lt;/D&gt;&lt;/FQL&gt;&lt;FQL&gt;&lt;Q&gt;GE-US^FF_INVEST_ST_OTH(ANN_R,-9,0,Y,RP,USD,M)&lt;/Q&gt;&lt;R&gt;10&lt;/R&gt;&lt;C&gt;1&lt;/C&gt;&lt;D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xsi:type="xsd:double"&gt;9888&lt;/D&gt;&lt;D xsi:type="xsd:double"&gt;7319&lt;/D&gt;&lt;/FQL&gt;&lt;FQL&gt;&lt;Q&gt;GE-US^PCTCHG(FF_CASH_ST(ANN_R,-9,0,Y,RP,LOCAL,M),FF_CASH_ST(ANN_R,-9-1,0-1,Y,RP,LOCAL,M))&lt;/Q&gt;&lt;R&gt;10&lt;/R&gt;&lt;C&gt;1&lt;/C&gt;&lt;D xsi:type="xsd:double"&gt;7.020188&lt;/D&gt;&lt;D xsi:type="xsd:double"&gt;-8.455522&lt;/D&gt;&lt;D xsi:type="xsd:double"&gt;14.477222&lt;/D&gt;&lt;D xsi:type="xsd:double"&gt;-20.924849&lt;/D&gt;&lt;D xsi:type="xsd:double"&gt;0.65405214&lt;/D&gt;&lt;D xsi:type="xsd:double"&gt;-31.715448&lt;/D&gt;&lt;D xsi:type="xsd:double"&gt;-8.647593&lt;/D&gt;&lt;D xsi:type="xsd:double"&gt;-29.210545&lt;/D&gt;&lt;D xsi:type="xsd:double"&gt;46.828815&lt;/D&gt;&lt;D xsi:type="xsd:double"&gt;-3.8294055&lt;/D&gt;&lt;/FQL&gt;&lt;FQL&gt;&lt;Q&gt;GE-US^FF_CASH_ASSETS(ANN_R,-9,0,Y,RP)&lt;/Q&gt;&lt;R&gt;10&lt;/R&gt;&lt;C&gt;1&lt;/C&gt;&lt;D xsi:type="xsd:double"&gt;11.297982431511&lt;/D&gt;&lt;D xsi:type="xsd:double"&gt;10.7849616177164&lt;/D&gt;&lt;D xsi:type="xsd:double"&gt;12.9316450372594&lt;/D&gt;&lt;D xsi:type="xsd:double"&gt;10.3470644037343&lt;/D&gt;&lt;D xsi:type="xsd:double"&gt;13.6820874777734&lt;/D&gt;&lt;D xsi:type="xsd:double"&gt;12.3550567451078&lt;/D&gt;&lt;D xsi:type="xsd:double"&gt;11.4911856566&lt;/D&gt;&lt;D xsi:type="xsd:double"&gt;9.7369606567224&lt;/D&gt;&lt;D xsi:type="xsd:double"&gt;17.1365252216172&lt;/D&gt;&lt;D xsi:type="xsd:double"&gt;17.2315232307391&lt;/D&gt;&lt;/FQL&gt;&lt;FQL&gt;&lt;Q&gt;GE-US^FF_RECEIV_ST(ANN_R,-9,0,Y,RP,USD,M)&lt;/Q&gt;&lt;R&gt;10&lt;/R&gt;&lt;C&gt;1&lt;/C&gt;&lt;D xsi:type="xsd:double"&gt;307470&lt;/D&gt;&lt;D xsi:type="xsd:double"&gt;287489&lt;/D&gt;&lt;D xsi:type="xsd:double"&gt;272442&lt;/D&gt;&lt;D xsi:type="xsd:double"&gt;42943&lt;/D&gt;&lt;D xsi:type="xsd:double"&gt;45856&lt;/D&gt;&lt;D xsi:type="xsd:double"&gt;42262&lt;/D&gt;&lt;D xsi:type="xsd:double"&gt;40846&lt;/D&gt;&lt;D xsi:type="xsd:double"&gt;29487&lt;/D&gt;&lt;D xsi:type="xsd:double"&gt;27670&lt;/D&gt;&lt;D xsi:type="xsd:double"&gt;27051&lt;/D&gt;&lt;/FQL&gt;&lt;FQL&gt;&lt;Q&gt;GE-US^FF_RECEIV_NET(ANN_R,-9,0,Y,RP,USD,M)&lt;/Q&gt;&lt;R&gt;10&lt;/R&gt;&lt;C&gt;1&lt;/C&gt;&lt;D xsi:type="xsd:double"&gt;299909&lt;/D&gt;&lt;D xsi:type="xsd:double"&gt;279528&lt;/D&gt;&lt;D xsi:type="xsd:double"&gt;263328&lt;/D&gt;&lt;D xsi:type="xsd:double"&gt;36682&lt;/D&gt;&lt;D xsi:type="xsd:double"&gt;39074&lt;/D&gt;&lt;D xsi:type="xsd:double"&gt;36318&lt;/D&gt;&lt;D xsi:type="xsd:double"&gt;34545&lt;/D&gt;&lt;D xsi:type="xsd:double"&gt;22344&lt;/D&gt;&lt;D xsi:type="xsd:double"&gt;25035&lt;/D&gt;&lt;D xsi:type="xsd:double"&gt;23720&lt;/D&gt;&lt;/FQL&gt;&lt;FQL&gt;&lt;Q&gt;GE-US^FF_RECEIV_GROSS(ANN_R,-9,0,Y,RP,USD,M)&lt;/Q&gt;&lt;R&gt;10&lt;/R&gt;&lt;C&gt;1&lt;/C&gt;&lt;D xsi:type="xsd:double"&gt;300361&lt;/D&gt;&lt;D xsi:type="xsd:double"&gt;279990&lt;/D&gt;&lt;D xsi:type="xsd:double"&gt;263775&lt;/D&gt;&lt;D xsi:type="xsd:double"&gt;37177&lt;/D&gt;&lt;D xsi:type="xsd:double"&gt;39589&lt;/D&gt;&lt;D xsi:type="xsd:double"&gt;37176&lt;/D&gt;&lt;D xsi:type="xsd:double"&gt;35618&lt;/D&gt;&lt;D xsi:type="xsd:double"&gt;23676&lt;/D&gt;&lt;D xsi:type="xsd:double"&gt;26781&lt;/D&gt;&lt;D xsi:type="xsd:double"&gt;24884&lt;/D&gt;&lt;/FQL&gt;&lt;FQL&gt;&lt;Q&gt;GE-US^-FF_BDEBT(ANN_R,-9,0,Y,RP,USD,M)&lt;/Q&gt;&lt;R&gt;10&lt;/R&gt;&lt;C&gt;1&lt;/C&gt;&lt;D xsi:type="xsd:double"&gt;-452&lt;/D&gt;&lt;D xsi:type="xsd:double"&gt;-462&lt;/D&gt;&lt;D xsi:type="xsd:double"&gt;-447&lt;/D&gt;&lt;D xsi:type="xsd:double"&gt;-495&lt;/D&gt;&lt;D xsi:type="xsd:double"&gt;-515&lt;/D&gt;&lt;D xsi:type="xsd:double"&gt;-858&lt;/D&gt;&lt;D xsi:type="xsd:double"&gt;-1073&lt;/D&gt;&lt;D xsi:type="xsd:double"&gt;-1332&lt;/D&gt;&lt;D xsi:type="xsd:double"&gt;-1746&lt;/D&gt;&lt;D xsi:type="xsd:double"&gt;-1164&lt;/D&gt;&lt;/FQL&gt;&lt;FQL&gt;&lt;Q&gt;GE-US^FF_RECEIV_ST_OTH(ANN_R,-9,0,Y,RP,USD,M)&lt;/Q&gt;&lt;R&gt;10&lt;/R&gt;&lt;C&gt;1&lt;/C&gt;&lt;D xsi:type="xsd:double"&gt;7561&lt;/D&gt;&lt;D xsi:type="xsd:double"&gt;7961&lt;/D&gt;&lt;D xsi:type="xsd:double"&gt;9114&lt;/D&gt;&lt;D xsi:type="xsd:double"&gt;6261&lt;/D&gt;&lt;D xsi:type="xsd:double"&gt;6782&lt;/D&gt;&lt;D xsi:type="xsd:double"&gt;5944&lt;/D&gt;&lt;D xsi:type="xsd:double"&gt;6301&lt;/D&gt;&lt;D xsi:type="xsd:double"&gt;7143&lt;/D&gt;&lt;D xsi:type="xsd:double"&gt;2635&lt;/D&gt;&lt;D xsi:type="xsd:double"&gt;3331&lt;/D&gt;&lt;/FQL&gt;&lt;FQL&gt;&lt;Q&gt;GE-US^PCTCHG(FF_RECEIV_ST(ANN_R,-9,0,Y,RP,LOCAL,M),FF_RECEIV_ST(ANN_R,-9-1,0-1,Y,RP,LOCAL,M))&lt;/Q&gt;&lt;R&gt;10&lt;/R&gt;&lt;C&gt;1&lt;/C&gt;&lt;D xsi:type="xsd:double"&gt;-8.932046&lt;/D&gt;&lt;D xsi:type="xsd:double"&gt;-6.4985204&lt;/D&gt;&lt;D xsi:type="xsd:double</t>
      </text>
    </comment>
    <comment ref="A3" authorId="0" shapeId="0">
      <text>
        <t>"&gt;-5.233939&lt;/D&gt;&lt;D xsi:type="xsd:double"&gt;-84.23775&lt;/D&gt;&lt;D xsi:type="xsd:double"&gt;6.7834105&lt;/D&gt;&lt;D xsi:type="xsd:double"&gt;-7.8375783&lt;/D&gt;&lt;D xsi:type="xsd:double"&gt;-3.3505278&lt;/D&gt;&lt;D xsi:type="xsd:double"&gt;-27.809332&lt;/D&gt;&lt;D xsi:type="xsd:double"&gt;-6.1620374&lt;/D&gt;&lt;D xsi:type="xsd:double"&gt;-2.2370799&lt;/D&gt;&lt;/FQL&gt;&lt;FQL&gt;&lt;Q&gt;GE-US^FF_INVEN(ANN_R,-9,0,Y,RP,USD,M)&lt;/Q&gt;&lt;R&gt;10&lt;/R&gt;&lt;C&gt;1&lt;/C&gt;&lt;D xsi:type="xsd:double"&gt;13792&lt;/D&gt;&lt;D xsi:type="xsd:double"&gt;15374&lt;/D&gt;&lt;D xsi:type="xsd:double"&gt;17325&lt;/D&gt;&lt;D xsi:type="xsd:double"&gt;17689&lt;/D&gt;&lt;D xsi:type="xsd:double"&gt;22515&lt;/D&gt;&lt;D xsi:type="xsd:double"&gt;22354&lt;/D&gt;&lt;D xsi:type="xsd:double"&gt;19419&lt;/D&gt;&lt;D xsi:type="xsd:double"&gt;13803&lt;/D&gt;&lt;D xsi:type="xsd:double"&gt;17215&lt;/D&gt;&lt;D xsi:type="xsd:double"&gt;15890&lt;/D&gt;&lt;/FQL&gt;&lt;FQL&gt;&lt;Q&gt;GE-US^FF_INVEN_FG(ANN_R,-9,0,Y,RP,USD,M)&lt;/Q&gt;&lt;R&gt;10&lt;/R&gt;&lt;C&gt;1&lt;/C&gt;&lt;D xsi:type="xsd:double"&gt;5022&lt;/D&gt;&lt;D xsi:type="xsd:double"&gt;6099&lt;/D&gt;&lt;D xsi:type="xsd:double"&gt;6794&lt;/D&gt;&lt;D xsi:type="xsd:double"&gt;7032&lt;/D&gt;&lt;D xsi:type="xsd:double"&gt;8265&lt;/D&gt;&lt;D xsi:type="xsd:double"&gt;8798&lt;/D&gt;&lt;D xsi:type="xsd:double"&gt;8847&lt;/D&gt;&lt;D xsi:type="xsd:double"&gt;5746&lt;/D&gt;&lt;D xsi:type="xsd:double"&gt;5333&lt;/D&gt;&lt;D xsi:type="xsd:double"&gt;5654&lt;/D&gt;&lt;/FQL&gt;&lt;FQL&gt;&lt;Q&gt;GE-US^FF_INVEN_WIP(ANN_R,-9,0,Y,RP,USD,M)&lt;/Q&gt;&lt;R&gt;10&lt;/R&gt;&lt;C&gt;1&lt;/C&gt;&lt;D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xsi:type="xsd:string"&gt;@NA&lt;/D&gt;&lt;/FQL&gt;&lt;FQL&gt;&lt;Q&gt;GE-US^FF_INVEN_MATL(ANN_R,-9,0,Y,RP,USD,M)&lt;/Q&gt;&lt;R&gt;10&lt;/R&gt;&lt;C&gt;1&lt;/C&gt;&lt;D xsi:type="xsd:double"&gt;8735&lt;/D&gt;&lt;D xsi:type="xsd:double"&gt;9295&lt;/D&gt;&lt;D xsi:type="xsd:double"&gt;10220&lt;/D&gt;&lt;D xsi:type="xsd:double"&gt;9963&lt;/D&gt;&lt;D xsi:type="xsd:double"&gt;13415&lt;/D&gt;&lt;D xsi:type="xsd:double"&gt;12637&lt;/D&gt;&lt;D xsi:type="xsd:double"&gt;10131&lt;/D&gt;&lt;D xsi:type="xsd:double"&gt;8057&lt;/D&gt;&lt;D xsi:type="xsd:double"&gt;8771&lt;/D&gt;&lt;D xsi:type="xsd:double"&gt;7937&lt;/D&gt;&lt;/FQL&gt;&lt;FQL&gt;&lt;Q&gt;GE-US^FF_INVEN_PROG_PAYMT(ANN_R,-9,0,Y,RP,USD,M)&lt;/Q&gt;&lt;R&gt;10&lt;/R&gt;&lt;C&gt;1&lt;/C&gt;&lt;D xsi:type="xsd:double"&gt;35&lt;/D&gt;&lt;D xsi:type="xsd:double"&gt;-20&lt;/D&gt;&lt;D xsi:type="xsd:double"&gt;311&lt;/D&gt;&lt;D xsi:type="xsd:double"&gt;694&lt;/D&gt;&lt;D xsi:type="xsd:double"&gt;835&lt;/D&gt;&lt;D xsi:type="xsd:double"&gt;919&lt;/D&gt;&lt;D xsi:type="xsd:double"&gt;441&lt;/D&gt;&lt;D xsi:type="xsd:string"&gt;@NA&lt;/D&gt;&lt;D xsi:type="xsd:double"&gt;3111&lt;/D&gt;&lt;D xsi:type="xsd:double"&gt;2299&lt;/D&gt;&lt;/FQL&gt;&lt;FQL&gt;&lt;Q&gt;GE-US^PCTCHG(FF_INVEN(ANN_R,-9,0,Y,RP,LOCAL,M),FF_INVEN(ANN_R,-9-1,0-1,Y,RP,LOCAL,M))&lt;/Q&gt;&lt;R&gt;10&lt;/R&gt;&lt;C&gt;1&lt;/C&gt;&lt;D xsi:type="xsd:double"&gt;19.659899&lt;/D&gt;&lt;D xsi:type="xsd:double"&gt;11.470418&lt;/D&gt;&lt;D xsi:type="xsd:double"&gt;12.690256&lt;/D&gt;&lt;D xsi:type="xsd:double"&gt;2.10101&lt;/D&gt;&lt;D xsi:type="xsd:double"&gt;27.282492&lt;/D&gt;&lt;D xsi:type="xsd:double"&gt;-0.71507883&lt;/D&gt;&lt;D xsi:type="xsd:double"&gt;-13.129642&lt;/D&gt;&lt;D xsi:type="xsd:double"&gt;-28.92013&lt;/D&gt;&lt;D xsi:type="xsd:double"&gt;24.719263&lt;/D&gt;&lt;D xsi:type="xsd:double"&gt;-7.696776&lt;/D&gt;&lt;/FQL&gt;&lt;FQL&gt;&lt;Q&gt;GE-US^FF_ASSETS_CURR_OTH(ANN_R,-9,0,Y,RP,USD,M)&lt;/Q&gt;&lt;R&gt;10&lt;/R&gt;&lt;C&gt;1&lt;/C&gt;&lt;D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xsi:type="xsd:double"&gt;1522&lt;/D&gt;&lt;/FQL&gt;&lt;FQL&gt;&lt;Q&gt;GE-US^FF_PREP_EXP(ANN_R,-9,0,Y,RP,USD,M)&lt;/Q&gt;&lt;R&gt;10&lt;/R&gt;&lt;C&gt;1&lt;/C&gt;&lt;D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xsi:type="xsd:string"&gt;@NA&lt;/D&gt;&lt;/FQL&gt;&lt;FQL&gt;&lt;Q&gt;GE-US^FF_ASSETS_CURR_MISC(ANN_R,-9,0,Y,RP,USD,M)&lt;/Q&gt;&lt;R&gt;10&lt;/R&gt;&lt;C&gt;1&lt;/C&gt;&lt;D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xsi:type="xsd:double"&gt;1522&lt;/D&gt;&lt;/FQL&gt;&lt;FQL&gt;&lt;Q&gt;GE-US^FF_ASSETS_CURR(ANN_R,-9,0,Y,RP,USD,M)&lt;/Q&gt;&lt;R&gt;10&lt;/R&gt;&lt;C&gt;1&lt;/C&gt;&lt;D xsi:type="xsd:double"&gt;405763&lt;/D&gt;&lt;D xsi:type="xsd:double"&gt;380219&lt;/D&gt;&lt;D xsi:type="xsd:double"&gt;378322&lt;/D&gt;&lt;D xsi:type="xsd:double"&gt;130657&lt;/D&gt;&lt;D xsi:type="xsd:double"&gt;138854&lt;/D&gt;&lt;D xsi:type="xsd:double"&gt;112745&lt;/D&gt;&lt;D xsi:type="xsd:double"&gt;104232&lt;/D&gt;&lt;D xsi:type="xsd:double"&gt;74414&lt;/D&gt;&lt;D xsi:type="xsd:double"&gt;103096&lt;/D&gt;&lt;D xsi:type="xsd:double"&gt;88412&lt;/D&gt;&lt;/FQL&gt;&lt;FQL&gt;&lt;Q&gt;GE-US^FF_PPE_NET(ANN_R,-9,0,Y,RP,USD,M)&lt;/Q&gt;&lt;R&gt;10&lt;/R&gt;&lt;C&gt;1&lt;/C&gt;&lt;D xsi:type="xsd:double"&gt;65739&lt;/D&gt;&lt;D xsi:type="xsd:double"&gt;69743&lt;/D&gt;&lt;D xsi:type="xsd:double"&gt;68827&lt;/D&gt;&lt;D xsi:type="xsd:double"&gt;48070&lt;/D&gt;&lt;D xsi:type="xsd:double"&gt;54095&lt;/D&gt;&lt;D xsi:type="xsd:double"&gt;50518&lt;/D&gt;&lt;D xsi:type="xsd:double"&gt;53874&lt;/D&gt;&lt;D xsi:type="xsd:double"&gt;43611&lt;/D&gt;&lt;D xsi:type="xsd:double"&gt;45879&lt;/D&gt;&lt;D xsi:type="xsd:double"&gt;44662&lt;/D&gt;&lt;/FQL&gt;&lt;FQL&gt;&lt;Q&gt;GE-US^FF_PPE_GROSS(ANN_R,-9,0,Y,RP,USD,M)&lt;/Q&gt;&lt;R&gt;10&lt;/R&gt;&lt;C&gt;1&lt;/C&gt;&lt;D xsi:type="xsd:double"&gt;108117&lt;/D&gt;&lt;D xsi:type="xsd:double"&gt;116763&lt;/D&gt;&lt;D xsi:type="xsd:double"&gt;116469&lt;/D&gt;&lt;D xsi:type="xsd:double"&gt;83191&lt;/D&gt;&lt;D xsi:type="xsd:double"&gt;90022&lt;/D&gt;&lt;D xsi:type="xsd:double"&gt;85875&lt;/D&gt;&lt;D xsi:type="xsd:double"&gt;89608&lt;/D&gt;&lt;D xsi:type="xsd:double"&gt;75618&lt;/D&gt;&lt;D xsi:type="xsd:double"&gt;78194&lt;/D&gt;&lt;D xsi:type="xsd:double"&gt;78914&lt;/D&gt;&lt;/FQL&gt;&lt;FQL&gt;&lt;Q&gt;GE-US^FF_PPE_GROSS_BLDG(ANN_R,-9,0,Y,RP,USD,M)&lt;/Q&gt;&lt;R&gt;10&lt;/R&gt;&lt;C&gt;1&lt;/C&gt;&lt;D xsi:type="xsd:double"&gt;10933&lt;/D&gt;&lt;D xsi:type="xsd:double"&gt;10985&lt;/D&gt;&lt;D xsi:type="xsd:double"&gt;11414&lt;/D&gt;&lt;D xsi:type="xsd:double"&gt;9058&lt;/D&gt;&lt;D xsi:type="xsd:double"&gt;10317&lt;/D&gt;&lt;D xsi:type="xsd:double"&gt;9918&lt;/D&gt;&lt;D xsi:type="xsd:double"&gt;11657&lt;/D&gt;&lt;D xsi:type="xsd:double"&gt;8608&lt;/D&gt;&lt;D xsi:type="xsd:double"&gt;7973&lt;/D&gt;&lt;D xsi:type="xsd:double"&gt;8354&lt;/D&gt;&lt;/FQL&gt;&lt;FQL&gt;&lt;Q&gt;GE-US^FF_PPE_GROSS_LAND(ANN_R,-9,0,Y,RP,USD,M)&lt;/Q&gt;&lt;R&gt;10&lt;/R&gt;&lt;C&gt;1&lt;/C&gt;&lt;D xsi:type="xsd:double"&gt;611&lt;/D&gt;&lt;D xsi:type="xsd:double"&gt;612&lt;/D&gt;&lt;D xsi:type="xsd:double"&gt;707&lt;/D&gt;&lt;D xsi:type="xsd:double"&gt;690&lt;/D&gt;&lt;D xsi:type="xsd:double"&gt;888&lt;/D&gt;&lt;D xsi:type="xsd:double"&gt;932&lt;/D&gt;&lt;D xsi:type="xsd:double"&gt;1175&lt;/D&gt;&lt;D xsi:type="xsd:double"&gt;700&lt;/D&gt;&lt;D xsi:type="xsd:double"&gt;608&lt;/D&gt;&lt;D xsi:type="xsd:double"&gt;599&lt;/D&gt;&lt;/FQL&gt;&lt;FQL&gt;&lt;Q&gt;GE-US^FF_PPE_GROSS_EQUIP(ANN_R,-9,0,Y,RP,USD,M)&lt;/Q&gt;&lt;R&gt;10&lt;/R&gt;&lt;C&gt;1&lt;/C&gt;&lt;D xsi:type="xsd:double"&gt;22071&lt;/D&gt;&lt;D xsi:type="xsd:double"&gt;24090&lt;/D&gt;&lt;D xsi:type="xsd:double"&gt;25323&lt;/D&gt;&lt;D xsi:type="xsd:double"&gt;23370&lt;/D&gt;&lt;D xsi:type="xsd:double"&gt;24515&lt;/D&gt;&lt;D xsi:type="xsd:double"&gt;24596&lt;/D&gt;&lt;D xsi:type="xsd:double"&gt;26702&lt;/D&gt;&lt;D xsi:type="xsd:double"&gt;19425&lt;/D&gt;&lt;D xsi:type="xsd:double"&gt;20082&lt;/D&gt;&lt;D xsi:type="xsd:double"&gt;20915&lt;/D&gt;&lt;/FQL&gt;&lt;FQL&gt;&lt;Q&gt;GE-US^FF_PPE_GROSS_CONSTR(ANN_R,-9,0,Y,RP,USD,M)&lt;/Q&gt;&lt;R&gt;10&lt;/R&gt;&lt;C&gt;1&lt;/C&gt;&lt;D xsi:type="xsd:double"&gt;2538&lt;/D&gt;&lt;D xsi:type="xsd:double"&gt;2815&lt;/D&gt;&lt;D xsi:type="xsd:double"&gt;3309&lt;/D&gt;&lt;D xsi:type="xsd:double"&gt;3751&lt;/D&gt;&lt;D xsi:type="xsd:double"&gt;4359&lt;/D&gt;&lt;D xsi:type="xsd:double"&gt;3407&lt;/D&gt;&lt;D xsi:type="xsd:double"&gt;3862&lt;/D&gt;&lt;D xsi:type="xsd:double"&gt;2645&lt;/D&gt;&lt;D xsi:type="xsd:double"&gt;2165&lt;/D&gt;&lt;D xsi:type="xsd:double"&gt;2028&lt;/D&gt;&lt;/FQL&gt;&lt;FQL&gt;&lt;Q&gt;GE-US^FF_PPE_GROSS_LEASES(ANN_R,-9,0,Y,RP,USD,M)&lt;/Q&gt;&lt;R&gt;10&lt;/R&gt;&lt;C&gt;1&lt;/C&gt;&lt;D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xsi:type="xsd:string"&gt;@NA&lt;/D&gt;&lt;/FQL&gt;&lt;FQL&gt;&lt;Q&gt;GE-US^FF_PPE_GROSS_LEASED_PROP(ANN_R,-9,0,Y,RP,USD,M)&lt;/Q&gt;&lt;R&gt;10&lt;/R&gt;&lt;C&gt;1&lt;/C&gt;&lt;D xsi:type="xsd:double"&gt;71924&lt;/D&gt;&lt;D xsi:type="xsd:double"&gt;78220&lt;/D&gt;&lt;D xsi:type="xsd:double"&gt;76063&lt;/D&gt;&lt;D xsi:type="xsd:double"&gt;46784&lt;/D&gt;&lt;D xsi:type="xsd:double"&gt;50882&lt;/D&gt;&lt;D xsi:type="xsd:double"&gt;47947&lt;/D&gt;&lt;D xsi:type="xsd:double"&gt;47014&lt;/D&gt;&lt;D xsi:type="xsd:double"&gt;45149&lt;/D&gt;&lt;D xsi:type="xsd:double"&gt;45331&lt;/D&gt;&lt;D xsi:type="xsd:double"&gt;45314&lt;/D&gt;&lt;/FQL&gt;&lt;FQL&gt;&lt;Q&gt;GE-US^FF_PPE_GROSS_TRANS_EQUIP(ANN_R,-9,0,Y,RP,USD,M)&lt;/Q&gt;&lt;R&gt;10&lt;/R&gt;&lt;C&gt;1&lt;/C&gt;&lt;D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xsi:type="xsd:string"&gt;@NA&lt;/D&gt;&lt;/FQL&gt;&lt;FQL&gt;&lt;Q&gt;GE-US^FF_PPE_GROSS_OTH(ANN_R,-9,0,Y,RP,USD,M)&lt;/Q&gt;&lt;R&gt;10&lt;/R&gt;&lt;C&gt;1&lt;/C&gt;&lt;D xsi:type="xsd:double"&gt;40&lt;/D&gt;&lt;D xsi:type="xsd:double"&gt;41&lt;/D&gt;&lt;D xsi:type="xsd:double"&gt;-347&lt;/D&gt;&lt;D xsi:type="xsd:double"&gt;-462&lt;/D&gt;&lt;D xsi:type="xsd:double"&gt;-939&lt;/D&gt;&lt;D xsi:type="xsd:double"&gt;-925&lt;/D&gt;&lt;D xsi:type="xsd:double"&gt;-802&lt;/D&gt;&lt;D xsi:type="xsd:double"&gt;-909&lt;/D&gt;&lt;D xsi:type="xsd:double"&gt;-1279&lt;/D&gt;&lt;D xsi:type="xsd:double"&gt;-1283&lt;/D&gt;&lt;/FQL&gt;&lt;FQL&gt;&lt;Q&gt;GE-US^FF_PPE_DEP(ANN_R,-9,0,Y,RP,USD,M)&lt;/Q&gt;&lt;R&gt;10&lt;/R&gt;&lt;C&gt;1&lt;/C&gt;&lt;D xsi:type="xsd:double"&gt;42378&lt;/D&gt;&lt;D xsi:type="xsd:double"&gt;47020&lt;/D&gt;&lt;D xsi:type="xsd:double"&gt;47642&lt;/D&gt;&lt;D xsi:type="xsd:double"&gt;35121&lt;/D&gt;&lt;D xsi:type="xsd:double"&gt;35927&lt;/D&gt;&lt;D xsi:type="xsd:double"&gt;35357&lt;/D&gt;&lt;D xsi:type="xsd:double"&gt;35734&lt;/D&gt;&lt;D xsi:type="xsd:double"&gt;32007&lt;/D&gt;&lt;D xsi:type="xsd:double"&gt;32315&lt;/D&gt;&lt;D xsi:type="xsd:double"&gt;34252&lt;/D&gt;&lt;/FQL&gt;&lt;FQL&gt;&lt;Q&gt;GE-US^FF_PPE_DEP_BLDG(ANN_R,-9,0,Y,RP,USD,M)&lt;/Q&gt;&lt;R&gt;10&lt;/R&gt;&lt;C&gt;1&lt;/C&gt;&lt;D xsi:type="xsd:double"&gt;5607&lt;/D&gt;&lt;D xsi:type="xsd:double"&gt;5908&lt;/D&gt;&lt;D xsi:type="xsd:double"&gt;6184&lt;/D&gt;&lt;D xsi:type="xsd:double"&gt;4785&lt;/D&gt;&lt;D xsi:type="xsd:double"&gt;4776&lt;/D&gt;&lt;D xsi:type="xsd:double"&gt;3834&lt;/D&gt;&lt;D xsi:type="xsd:double"&gt;4699&lt;/D&gt;&lt;D xsi:type="xsd:double"&gt;4493&lt;/D&gt;&lt;D xsi:type="xsd:double"&gt;4069&lt;/D&gt;&lt;D xsi:type="xsd:double"&gt;4503&lt;/D&gt;&lt;/FQL&gt;&lt;FQL&gt;&lt;Q&gt;GE-US^FF_PPE_DEP_LAND(ANN_R,-9,0,Y,RP,USD,M)&lt;/Q&gt;&lt;R&gt;10&lt;/R&gt;&lt;C&gt;1&lt;/C&gt;&lt;D xsi:type="xsd:double"&gt;27&lt;/D&gt;&lt;D xsi:type="xsd:double"&gt;30&lt;/D&gt;&lt;D xsi:type="xsd:double"&gt;36&lt;/D&gt;&lt;D xsi:type="xsd:double"&gt;-8&lt;/D&gt;&lt;D xsi:type="xsd:double"&gt;18&lt;/D&gt;&lt;D xsi:type="xsd:double"&gt;22&lt;/D&gt;&lt;D xsi:type="xsd:double"&gt;21&lt;/D&gt;&lt;D xsi:type="xsd:double"&gt;27&lt;/D&gt;&lt;D xsi:type="xsd:double"&gt;12&lt;/D&gt;&lt;D xsi:type="xsd:double"&gt;10&lt;/D&gt;&lt;/FQL&gt;&lt;FQL&gt;&lt;Q&gt;GE-US^FF_PPE_DEP_EQUIP(ANN_R,-9,0,Y,RP,USD,M)&lt;/Q&gt;&lt;R&gt;10&lt;/R&gt;&lt;C&gt;1&lt;/C&gt;&lt;D xsi:type="xsd:double"&gt;14423&lt;/D&gt;&lt;D xsi:type="xsd:double"&gt;15029&lt;/D&gt;&lt;D xsi:type="xsd:double"&gt;15622&lt;/D&gt;&lt;D xsi:type="xsd:double"&gt;14330&lt;/D&gt;&lt;D xsi:type="xsd:double"&gt;14529&lt;/D&gt;&lt;D xsi:type="xsd:double"&gt;15227&lt;/D&gt;&lt;D xsi:type="xsd:double"&gt;13968&lt;/D&gt;&lt;D xsi:type="xsd:double"&gt;11377&lt;/D&gt;&lt;D xsi:type="xsd:double"&gt;11722&lt;/D&gt;&lt;D xsi:type="xsd:double"&gt;13046&lt;/D&gt;&lt;/FQL&gt;&lt;FQL&gt;&lt;Q&gt;GE-US^FF_PPE_DEP_CONSTR(ANN_R,-9,0,Y,RP,USD,M)&lt;/Q&gt;&lt;R&gt;10&lt;/R&gt;&lt;C&gt;1&lt;/C&gt;&lt;D xsi:type="xsd:double"&gt;314&lt;/D&gt;&lt;D xsi:type="xsd:double"&gt;428&lt;/D&gt;&lt;D xsi:type="xsd:double"&gt;312&lt;/D&gt;&lt;D xsi:type="xsd:double"&gt;413&lt;/D&gt;&lt;D xsi:type="xsd:double"&gt;510&lt;/D&gt;&lt;D xsi:type="xsd:double"&gt;598&lt;/D&gt;&lt;D xsi:type="xsd:double"&gt;700&lt;/D&gt;&lt;D xsi:type="xsd:double"&gt;622&lt;/D&gt;&lt;D xsi:type="xsd:double"&gt;626&lt;/D&gt;&lt;D xsi:type="xsd:double"&gt;678&lt;/D&gt;&lt;/FQL&gt;&lt;FQL&gt;&lt;Q&gt;GE-US^FF_PPE_DEP_LEASES(ANN_R,-9,0,Y,RP,USD,M)&lt;/Q&gt;&lt;R&gt;10&lt;/R&gt;&lt;C&gt;1&lt;/C&gt;&lt;D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xsi:type="xsd:string"&gt;@NA&lt;/D&gt;&lt;/FQL&gt;&lt;FQL&gt;&lt;Q&gt;GE-US^FF_PPE_DEP_LEASED_PROP(ANN_R,-9,0,Y,RP,USD,M)&lt;/Q&gt;&lt;R&gt;10&lt;/R&gt;&lt;C&gt;1&lt;/C&gt;&lt;D xsi:type="xsd:double"&gt;22004&lt;/D&gt;&lt;D xsi:type="xsd:double"&gt;25621&lt;/D&gt;&lt;D xsi:type="xsd:double"&gt;25481&lt;/D&gt;&lt;D xsi:type="xsd:double"&gt;15672&lt;/D&gt;&lt;D xsi:type="xsd:double"&gt;16202&lt;/D&gt;&lt;D xsi:type="xsd:double"&gt;15792&lt;/D&gt;&lt;D xsi:type="xsd:double"&gt;16464&lt;/D&gt;&lt;D xsi:type="xsd:double"&gt;15671&lt;/D&gt;&lt;D xsi:type="xsd:double"&gt;15711&lt;/D&gt;&lt;D xsi:type="xsd:double"&gt;15925&lt;/D&gt;&lt;/FQL&gt;&lt;FQL&gt;&lt;Q&gt;GE-US^FF_PPE_DEP_TRANS_EQUIP(ANN_R,-9,0,Y,RP,USD,M)&lt;/Q&gt;&lt;R&gt;10&lt;/R&gt;&lt;C&gt;1&lt;/C&gt;&lt;D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xsi:type="xsd:string"&gt;@NA&lt;/D&gt;&lt;/FQL&gt;&lt;FQL&gt;&lt;Q&gt;GE-US^FF_PPE_DEP_OTH(ANN_R,-9,0,Y,RP,USD,M)&lt;/Q&gt;&lt;R&gt;10&lt;/R&gt;&lt;C&gt;1&lt;/C&gt;&lt;D xsi:type="xsd:double"&gt;3&lt;/D&gt;&lt;D xsi:type="xsd:double"&gt;4&lt;/D&gt;&lt;D xsi:type="xsd:double"&gt;7&lt;/D&gt;&lt;D xsi:type="xsd:double"&gt;-71&lt;/D&gt;&lt;D xsi:type="xsd:double"&gt;-108&lt;/D&gt;&lt;D xsi:type="xsd:double"&gt;-116&lt;/D&gt;&lt;D xsi:type="xsd:double"&gt;-118&lt;/D&gt;&lt;D xsi:type="xsd:double"&gt;-181&lt;/D&gt;&lt;D xsi:type="xsd:double"&gt;175&lt;/D&gt;&lt;D xsi:type="xsd:double"&gt;90&lt;/D&gt;&lt;/FQL&gt;&lt;FQL&gt;&lt;Q&gt;GE-US^FF_INVEST_ADV(ANN_R,-9,0,Y,RP,USD,M)&lt;/Q&gt;&lt;R&gt;10&lt;/R&gt;&lt;C&gt;1&lt;/C&gt;&lt;D xsi:type="xsd:double"&gt;138458&lt;/D&gt;&lt;D xsi:type="xsd:double"&gt;126653&lt;/D&gt;&lt;D xsi:type="xsd:double"&gt;88758&lt;/D&gt;&lt;D xsi:type="xsd:double"&gt;50508&lt;/D&gt;&lt;D xsi:type="xsd:double"&gt;56337&lt;/D&gt;&lt;D xsi:type="xsd:double"&gt;57109&lt;/D&gt;&lt;D xsi:type="xsd:double"&gt;38696&lt;/D&gt;&lt;D xsi:type="xsd:double"&gt;33508&lt;/D&gt;&lt;D xsi:type="xsd:double"&gt;44874&lt;/D&gt;&lt;D xsi:type="xsd:double"&gt;49575&lt;/D&gt;&lt;/FQL&gt;&lt;FQL&gt;&lt;Q&gt;GE-US^FF_INVEST_AFF(ANN_R,-9,0,Y,RP,USD,M)&lt;/Q&gt;&lt;R&gt;10&lt;/R&gt;&lt;C&gt;1&lt;/C&gt;&lt;D xsi:type="xsd:double"&gt;44052&lt;/D&gt;&lt;D xsi:type="xsd:double"&gt;41288&lt;/D&gt;&lt;D xsi:type="xsd:double"&gt;21285&lt;/D&gt;&lt;D xsi:type="xsd:double"&gt;12035&lt;/D&gt;&lt;D xsi:type="xsd:double"&gt;11955&lt;/D&gt;&lt;D xsi:type="xsd:double"&gt;11698&lt;/D&gt;&lt;D xsi:type="xsd:double"&gt;0&lt;/D&gt;&lt;D xsi:type="xsd:double"&gt;0&lt;/D&gt;&lt;D xsi:type="xsd:double"&gt;0&lt;/D&gt;&lt;D xsi:type="xsd:double"&gt;0&lt;/D&gt;&lt;/FQL&gt;&lt;FQL&gt;&lt;Q&gt;GE-US^FF_INVEST_OTH(ANN_R,-9,0,Y,RP,USD,M)&lt;/Q&gt;&lt;R&gt;10&lt;/R&gt;&lt;C&gt;1&lt;/C&gt;&lt;D xsi:type="xsd:double"&gt;94406&lt;/D&gt;&lt;D xsi:type="xsd:double"&gt;85365&lt;/D&gt;&lt;D xsi:type="xsd:double"&gt;67473&lt;/D&gt;&lt;D xsi:type="xsd:double"&gt;38473&lt;/D&gt;&lt;D xsi:type="xsd:double"&gt;44382&lt;/D&gt;&lt;D xsi:type="xsd:double"&gt;45411&lt;/D&gt;&lt;D xsi:type="xsd:double"&gt;38696&lt;/D&gt;&lt;D xsi:type="xsd:double"&gt;33508&lt;/D&gt;&lt;D xsi:type="xsd:double"&gt;44874&lt;/D&gt;&lt;D xsi:type="xsd:double"&gt;49575&lt;/D&gt;&lt;/FQL&gt;&lt;FQL&gt;&lt;Q&gt;GE-US^FF_NOTES_RECEIV_LT(ANN_R,-9,0,Y,RP,USD,M)&lt;/Q&gt;&lt;R&gt;10&lt;/R&gt;&lt;C&gt;1&lt;/C&gt;&lt;D xsi:type="xsd:double"&gt;10324&lt;/D&gt;&lt;D xsi:type="xsd:double"&gt;10157&lt;/D&gt;&lt;D xsi:type="xsd:double"&gt;993&lt;/D&gt;&lt;D xsi:type="xsd:double"&gt;17726&lt;/D&gt;&lt;D xsi:type="xsd:double"&gt;23466&lt;/D&gt;&lt;D xsi:type="xsd:double"&gt;27595&lt;/D&gt;&lt;D xsi:type="xsd:double"&gt;13775&lt;/D&gt;&lt;D xsi:type="xsd:double"&gt;10880&lt;/D&gt;&lt;D xsi:type="xsd:double"&gt;8979&lt;/D&gt;&lt;D xsi:type="xsd:double"&gt;8862&lt;/D&gt;&lt;/FQL&gt;&lt;FQL&gt;&lt;Q&gt;GE-US^FF_INTANG(ANN_R,-9,0,Y,RP,USD,M)&lt;/Q&gt;&lt;R&gt;10&lt;/R&gt;&lt;C&gt;1&lt;/C&gt;&lt;D xsi:type="xsd:double"&gt;84693&lt;/D&gt;&lt;D xsi:type="xsd:double"&gt;85434&lt;/D&gt;&lt;D xsi:type="xsd:double"&gt;91958&lt;/D&gt;&lt;D xsi:type="xsd:double"&gt;66389&lt;/D&gt;&lt;D xsi:type="xsd:double"&gt;83323&lt;/D&gt;&lt;D xsi:type="xsd:double"&gt;86874&lt;/D&gt;&lt;D xsi:type="xsd:double"&gt;104241&lt;/D&gt;&lt;D xsi:type="xsd:double"&gt;46152&lt;/D&gt;&lt;D xsi:type="xsd:double"&gt;37387&lt;/D&gt;&lt;D xsi:type="xsd:double"&gt;35298&lt;/D&gt;&lt;/FQL&gt;&lt;FQL&gt;&lt;Q&gt;GE-US^FF_GW(ANN_R,-9,0,Y,RP,USD,M)&lt;/Q&gt;&lt;R&gt;10&lt;/R&gt;&lt;C&gt;1&lt;/C&gt;&lt;D xsi:type="xsd:double"&gt;72625&lt;/D&gt;&lt;D xsi:type="xsd:double"&gt;73447&lt;/D&gt;&lt;D xsi:type="xsd:double"&gt;77648&lt;/D&gt;&lt;D xsi:type="xsd:double"&gt;53207&lt;/D&gt;&lt;D xsi:type="xsd:double"&gt;65526&lt;/D&gt;&lt;D xsi:type="xsd:double"&gt;70438&lt;/D&gt;&lt;D xsi:type="xsd:double"&gt;83968&lt;/D&gt;&lt;D xsi:type="xsd:double"&gt;33974&lt;/D&gt;&lt;D xsi:type="xsd:double"&gt;26734&lt;/D&gt;&lt;D xsi:type="xsd:double"&gt;25524&lt;/D&gt;&lt;/FQL&gt;&lt;FQL&gt;&lt;Q&gt;GE-US^FF_INTANG_OTH(ANN_R,-9,0,Y,RP,USD,M)&lt;/Q&gt;&lt;R&gt;10&lt;/R&gt;&lt;C&gt;1&lt;/C&gt;&lt;D xsi:type="xsd:double"&gt;12068&lt;/D&gt;&lt;D xsi:type="xsd:double"&gt;11987&lt;/D&gt;&lt;D xsi:type="xsd:double"&gt;14310&lt;/D&gt;&lt;D xsi:type="xsd:double"&gt;13182&lt;/D&gt;&lt;D xsi:type="xsd:double"&gt;17797&lt;/D&gt;&lt;D xsi:type="xsd:double"&gt;16436&lt;/D&gt;&lt;D xsi:type="xsd:double"&gt;20273&lt;/D&gt;&lt;D xsi:type="xsd:double"&gt;12178&lt;/D&gt;&lt;D xsi:type="xsd:double"&gt;10653&lt;/D&gt;&lt;D xsi:type="xsd:double"&gt;9774&lt;/D&gt;&lt;/FQL&gt;&lt;FQL&gt;&lt;Q&gt;GE-US^FF_DFD_TAX_DB(ANN_R,-9,0,Y,RP,USD,M)&lt;/Q&gt;&lt;R&gt;10&lt;/R&gt;&lt;C&gt;1&lt;/C&gt;&lt;D xsi:type="xsd:double"&gt;30688&lt;/D&gt;&lt;D xsi:type="xsd:double"&gt;31930&lt;/D&gt;&lt;D xsi:type="xsd:double"&gt;28508&lt;/D&gt;&lt;D xsi:type="xsd:double"&gt;27991&lt;/D&gt;&lt;D xsi:type="xsd:double"&gt;25182&lt;/D&gt;&lt;D xsi:type="xsd:double"&gt;26199&lt;/D&gt;&lt;D xsi:type="xsd:double"&gt;22189&lt;/D&gt;&lt;D xsi:type="xsd:double"&gt;20693&lt;/D&gt;&lt;D xsi:type="xsd:double"&gt;11388&lt;/D&gt;&lt;D xsi:type="xsd:double"&gt;13679&lt;/D&gt;&lt;/FQL&gt;&lt;FQL&gt;&lt;Q&gt;GE-US^FF_ASSETS_OTH(ANN_R,-9,0,Y,RP,USD,M)&lt;/Q&gt;&lt;R&gt;10&lt;/R&gt;&lt;C&gt;1&lt;/C&gt;&lt;D xsi:type="xsd:double"&gt;12265&lt;/D&gt;&lt;D xsi:type="xsd:double"&gt;13122&lt;/D&gt;&lt;D xsi:type="xsd:double"&gt;27427&lt;/D&gt;&lt;D xsi:type="xsd:double"&gt;335421&lt;/D&gt;&lt;D xsi:type="xsd:double"&gt;133891&lt;/D&gt;&lt;D xsi:type="xsd:double"&gt;28509&lt;/D&gt;&lt;D xsi:type="xsd:double"&gt;45608&lt;/D&gt;&lt;D xsi:type="xsd:double"&gt;90390&lt;/D&gt;&lt;D xsi:type="xsd:double"&gt;15073&lt;/D&gt;&lt;D xsi:type="xsd:double"&gt;14562&lt;/D&gt;&lt;/FQL&gt;&lt;FQL&gt;&lt;Q&gt;GE-US^FF_DFD_CHRG(ANN_R,-9,0,Y,RP,USD,M)&lt;/Q&gt;&lt;R&gt;10&lt;/R&gt;&lt;C&gt;1&lt;/C&gt;&lt;D xsi:type="xsd:double"&gt;2942&lt;/D&gt;&lt;D xsi:type="xsd:double"&gt;2799&lt;/D&gt;&lt;D xsi:type="xsd:double"&gt;3224&lt;/D&gt;&lt;D xsi:type="xsd:double"&gt;2034&lt;/D&gt;&lt;D xsi:type="xsd:double"&gt;2353&lt;/D&gt;&lt;D xsi:type="xsd:double"&gt;2190&lt;/D&gt;&lt;D xsi:type="xsd:double"&gt;5484&lt;/D&gt;&lt;D xsi:type="xsd:double"&gt;5404&lt;/D&gt;&lt;D xsi:type="xsd:double"&gt;5737&lt;/D&gt;&lt;D xsi:type="xsd:double"&gt;5888&lt;/D&gt;&lt;/FQL&gt;&lt;FQL&gt;&lt;Q&gt;GE-US^FF_ASSETS_OTH_TANG(ANN_R,-9,0,Y,RP,USD,M)&lt;/Q&gt;&lt;R&gt;10&lt;/R&gt;&lt;C&gt;1&lt;/C&gt;&lt;D xsi:type="xsd:double"&gt;9323&lt;/D&gt;&lt;D xsi:type="xsd:double"&gt;10323&lt;/D&gt;&lt;D xsi:type="xsd:double"&gt;24203&lt;/D&gt;&lt;D xsi:type="xsd:double"&gt;333387&lt;/D&gt;&lt;D xsi:type="xsd:double"&gt;131538&lt;/D&gt;&lt;D xsi:type="xsd:double"&gt;26319&lt;/D&gt;&lt;D xsi:type="xsd:double"&gt;40124&lt;/D&gt;&lt;D xsi:type="xsd:double"&gt;84986&lt;/D&gt;&lt;D xsi:type="xsd:double"&gt;9336&lt;/D&gt;&lt;D xsi:type="xsd:double"&gt;8674&lt;/D&gt;&lt;/FQL&gt;&lt;FQL&gt;&lt;Q&gt;GE-US^FF_ASSETS(ANN_R,-9,0,Y,RP,USD,M)&lt;/Q&gt;&lt;R&gt;10&lt;/R&gt;&lt;C&gt;1&lt;/C&gt;&lt;D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xsi:type="xsd:double"&gt;255050&lt;/D&gt;&lt;/FQL&gt;&lt;FQL&gt;&lt;Q&gt;GE-US^PCTCHG(FF_ASSETS(ANN_R,-9,0,Y,RP,LOCAL,M),FF_ASSETS(ANN_R,-9-1,0-1,Y,RP,LOCAL,M))&lt;/Q&gt;&lt;R&gt;10&lt;/R&gt;&lt;C&gt;1&lt;/C&gt;&lt;D xsi:type="xsd:double"&gt;-3.9852421&lt;/D&gt;&lt;D xsi:type="xsd:double"&gt;-4.100919&lt;/D&gt;&lt;D xsi:type="xsd:double"&gt;-4.526265&lt;/D&gt;&lt;D xsi:type="xsd:double"&gt;-1.1727631&lt;/D&gt;&lt;D xsi:type="xsd:double"&gt;-23.880478&lt;/D&gt;&lt;D xsi:type="xsd:double"&gt;-24.38115&lt;/D&gt;&lt;D xsi:type="xsd:double"&gt;-1.7800071&lt;/D&gt;&lt;D xsi:type="xsd:double"&gt;-16.457012&lt;/D&gt;&lt;D xsi:type="xsd:double"&gt;-16.57198&lt;/D&gt;&lt;D xsi:type="xsd:double"&gt;-4.359597&lt;/D&gt;&lt;/FQL&gt;&lt;FQL&gt;&lt;Q&gt;GE-US^FF_DEBT_ST(ANN_R,-9,0,Y,RP,USD,M)&lt;/Q&gt;&lt;R&gt;10&lt;/R&gt;&lt;C&gt;1&lt;/C&gt;&lt;D xsi:type="xsd:double"&gt;148325&lt;/D&gt;&lt;D xsi:type="xsd:double"&gt;110487&lt;/D&gt;&lt;D xsi:type="xsd:double"&gt;86937&lt;/D&gt;&lt;D xsi:type="xsd:double"&gt;70425&lt;/D&gt;&lt;D xsi:type="xsd:double"&gt;49860&lt;/D&gt;&lt;D xsi:type="xsd:double"&gt;30714&lt;/D&gt;&lt;D xsi:type="xsd:double"&gt;24036&lt;/D&gt;&lt;D xsi:type="xsd:double"&gt;12776&lt;/D&gt;&lt;D xsi:type="xsd:double"&gt;23641&lt;/D&gt;&lt;D xsi:type="xsd:double"&gt;4778&lt;/D&gt;&lt;/FQL&gt;&lt;FQL&gt;&lt;Q&gt;GE-US^FF_DEBT_ST_BORR_FED_RSRV(ANN_R,-9,0,Y,RP,USD,M)&lt;/Q&gt;&lt;R&gt;0&lt;/R&gt;&lt;C&gt;0&lt;/C&gt;&lt;/FQL&gt;&lt;FQL&gt;&lt;Q&gt;GE-US^FF_DEBT_ST_REPOS(ANN_R,-9,0,Y,RP,USD,M)&lt;/Q&gt;&lt;R&gt;0&lt;/R&gt;&lt;C&gt;0&lt;/C&gt;&lt;/FQL&gt;&lt;FQL&gt;&lt;Q&gt;GE-US^FF_DEBT_ST_PURCH_FED_FUNDS(ANN_R,-9,0,Y,RP,USD,M)&lt;/Q&gt;&lt;R&gt;0&lt;/R&gt;&lt;C&gt;0&lt;/C&gt;&lt;/FQL&gt;&lt;FQL&gt;&lt;Q&gt;GE-US^FF_DEBT_ST_ADV_FHLB(ANN_R,-9,0,Y,RP,USD,M)&lt;/Q&gt;&lt;R&gt;0&lt;/R&gt;&lt;C&gt;0&lt;/C&gt;&lt;/FQL&gt;&lt;FQL&gt;&lt;Q&gt;GE-US^FF_DEBT_ST_ADV_FFCB(ANN_R,-9,0,Y,RP,USD,M)&lt;/Q&gt;&lt;R&gt;0&lt;/R&gt;&lt;C&gt;0&lt;/C&gt;&lt;/FQL&gt;&lt;FQL&gt;&lt;Q&gt;GE-US^FF_DEBT_ST_GTD_FDIC_CP(ANN_R,-9,0,Y,RP,USD,M)&lt;/Q&gt;&lt;R&gt;0&lt;/R&gt;&lt;C&gt;0&lt;/C&gt;&lt;/FQL&gt;&lt;FQL&gt;&lt;Q&gt;GE-US^FF_DEBT_ST_SECURE_ABS_CP(ANN_R,-9,0,Y,RP,USD,M)&lt;/Q&gt;&lt;R&gt;0&lt;/R&gt;&lt;C&gt;0&lt;/C&gt;&lt;/FQL&gt;&lt;FQL&gt;&lt;Q&gt;GE-US^FF_DEBT_ST_UNSECURE_CP(ANN_R,-9,0,Y,RP,USD,M)&lt;/Q&gt;&lt;R&gt;0&lt;/R&gt;&lt;C&gt;0&lt;/C&gt;&lt;/FQL&gt;&lt;FQL&gt;&lt;Q&gt;GE-US^FF_DEBT_ST_SECURE_REVOLV(ANN_R,-9,0,Y,RP,USD,M)&lt;/Q&gt;&lt;R&gt;0&lt;/R&gt;&lt;C&gt;0&lt;/C&gt;&lt;/FQL&gt;&lt;FQL&gt;&lt;Q&gt;GE-US^FF_DEBT_ST_UNSECURE_REVOLV(ANN_R,-9,0,Y,RP,USD,M)&lt;/Q&gt;&lt;R&gt;0&lt;/R&gt;&lt;C&gt;0&lt;/C&gt;&lt;/FQL&gt;&lt;FQL&gt;&lt;Q&gt;GE-US^FF_DEBT_REVOLV_SECURE_CURR(ANN_R,-9,0,Y,RP,USD,M)&lt;/Q&gt;&lt;R&gt;0&lt;/R&gt;&lt;C&gt;0&lt;/C&gt;&lt;/FQL&gt;&lt;FQL&gt;&lt;Q&gt;GE-US^FF_DEBT_REVOLV_UNSECURE_CURR(ANN_R,-9,0,Y,RP,USD,M)&lt;/Q&gt;&lt;R&gt;0&lt;/R&gt;&lt;C&gt;0&lt;/C&gt;&lt;/FQL&gt;&lt;FQL&gt;&lt;Q&gt;GE-US^FF_DEBT_ST_STN_BANK(ANN_R,-9,0,Y,RP,USD,M)&lt;/Q&gt;&lt;R&gt;0&lt;/R&gt;&lt;C&gt;0&lt;/C&gt;&lt;/FQL&gt;&lt;FQL&gt;&lt;Q&gt;GE-US^FF_DEBT_ST_SECURE_OTH(ANN_R,-9,0,Y,RP,USD,M)&lt;/Q&gt;&lt;R&gt;0&lt;/R&gt;&lt;C&gt;0&lt;/C&gt;&lt;/FQL&gt;&lt;FQL&gt;&lt;Q&gt;GE-US^FF_DEBT_ST_UNSECURE_OTH(ANN_R,-9,0,Y,RP,USD,M)&lt;/Q&gt;&lt;R&gt;0&lt;/R&gt;&lt;C&gt;0&lt;/C&gt;&lt;/FQL&gt;&lt;FQL&gt;&lt;Q&gt;GE-US^FF_DEBT_ST_NOTES_PAY(ANN_R,-9,0,Y,RP,USD,M)&lt;/Q&gt;&lt;R&gt;0&lt;/R&gt;&lt;C&gt;0&lt;/C&gt;&lt;/FQL&gt;&lt;FQL&gt;&lt;Q&gt;GE-US^FF_DEBT_ST_ADJ(ANN_R,-9,0,Y,RP,USD,M)&lt;/Q&gt;&lt;R&gt;0&lt;/R&gt;&lt;C&gt;0&lt;/C&gt;&lt;/FQL&gt;&lt;FQL&gt;&lt;Q&gt;GE-US^FF_DEBT_ST_CURR_PORT(ANN_R,-9,0,Y,RP,USD,M)&lt;/Q&gt;&lt;R&gt;0&lt;/R&gt;&lt;C&gt;0&lt;/C&gt;&lt;/FQL&gt;&lt;FQL&gt;&lt;Q&gt;GE-US^FF_PAY_ACCT(ANN_R,-9,0,Y,RP,USD,M)&lt;/Q&gt;&lt;R&gt;10&lt;/R&gt;&lt;C&gt;1&lt;/C&gt;&lt;D xsi:type="xsd:double"&gt;16400&lt;/D&gt;&lt;D xsi:type="xsd:double"&gt;15675&lt;/D&gt;&lt;D xsi:type="xsd:double"&gt;16471&lt;/D&gt;&lt;D xsi:type="xsd:double"&gt;12067&lt;/D&gt;&lt;D xsi:type="xsd:double"&gt;13680&lt;/D&gt;&lt;D xsi:type="xsd:double"&gt;14435&lt;/D&gt;&lt;D xsi:type="xsd:double"&gt;15172&lt;/D&gt;&lt;D xsi:type="xsd:double"&gt;13826&lt;/D&gt;&lt;D xsi:type="xsd:double"&gt;17357&lt;/D&gt;&lt;D xsi:type="xsd:double"&gt;16476&lt;/D&gt;&lt;/FQL&gt;&lt;FQL&gt;&lt;Q&gt;GE-US^PCTCHG(FF_PAY_ACCT(ANN_R,-9,0,Y,RP,LOCAL,M),FF_PAY_ACCT(ANN_R,-9-1,0-1,Y,RP,LOCAL,M))&lt;/Q&gt;&lt;R&gt;10&lt;/R&gt;&lt;C&gt;1&lt;/C&gt;&lt;D xsi:type="xsd:double"&gt;11.891929&lt;/D&gt;&lt;D xsi:type="xsd:double"&gt;-4.4207315&lt;/D&gt;&lt;D xsi:type="xsd:double"&gt;5.07815&lt;/D&gt;&lt;D xsi:type="xsd:double"&gt;-26.737904&lt;/D&gt;&lt;D xsi:type="xsd:double"&gt;13.367034&lt;/D&gt;&lt;D xsi:type="xsd:double"&gt;5.519006&lt;/D&gt;&lt;D xsi:type="xsd:double"&gt;5.105646&lt;/D&gt;&lt;D xsi:type="xsd:double"&gt;-8.871606&lt;/D&gt;&lt;D xsi:type="xsd:double"&gt;25.53884&lt;/D&gt;&lt;D xsi:type="xsd:double"&gt;-5.075762&lt;/D&gt;&lt;/FQL&gt;&lt;FQL&gt;&lt;Q&gt;GE-US^FF_PAY_TAX(ANN_R,-9,0,Y,RP,USD,M)&lt;/Q&gt;&lt;R&gt;10&lt;/R&gt;&lt;C&gt;1&lt;/C&gt;&lt;D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xsi:type="xsd:double"&gt;503&lt;/D&gt;&lt;D xsi:type="xsd:double"&gt;429&lt;/D&gt;&lt;D xsi:type="xsd:double"&gt;413&lt;/D&gt;&lt;/FQL&gt;&lt;FQL&gt;&lt;Q&gt;GE-US^FF_LIABS_CURR_OTH(ANN_R,-9,0,Y,RP,USD,M)&lt;/Q&gt;&lt;R&gt;10&lt;/R&gt;&lt;C&gt;1&lt;/C&gt;&lt;D xsi:type="xsd:double"&gt;26995&lt;/D&gt;&lt;D xsi:type="xsd:double"&gt;27752&lt;/D&gt;&lt;D xsi:type="xsd:double"&gt;28726&lt;/D&gt;&lt;D xsi:type="xsd:double"&gt;29177&lt;/D&gt;&lt;D xsi:type="xsd:double"&gt;41540&lt;/D&gt;&lt;D xsi:type="xsd:double"&gt;36431&lt;/D&gt;&lt;D xsi:type="xsd:double"&gt;40088&lt;/D&gt;&lt;D xsi:type="xsd:double"&gt;33346&lt;/D&gt;&lt;D xsi:type="xsd:double"&gt;37439&lt;/D&gt;&lt;D xsi:type="xsd:double"&gt;34402&lt;/D&gt;&lt;/FQL&gt;&lt;FQL&gt;&lt;Q&gt;GE-US^FF_PAY_DIV(ANN_R,-9,0,Y,RP,USD,M)&lt;/Q&gt;&lt;R&gt;10&lt;/R&gt;&lt;C&gt;1&lt;/C&gt;&lt;D xsi:type="xsd:double"&gt;1797&lt;/D&gt;&lt;D xsi:type="xsd:double"&gt;1980&lt;/D&gt;&lt;D xsi:type="xsd:double"&gt;2220&lt;/D&gt;&lt;D xsi:type="xsd:double"&gt;2317&lt;/D&gt;&lt;D xsi:type="xsd:double"&gt;2167&lt;/D&gt;&lt;D xsi:type="xsd:double"&gt;2107&lt;/D&gt;&lt;D xsi:type="xsd:double"&gt;1052&lt;/D&gt;&lt;D xsi:type="xsd:double"&gt;0&lt;/D&gt;&lt;D xsi:type="xsd:double"&gt;0&lt;/D&gt;&lt;D xsi:type="xsd:double"&gt;0&lt;/D&gt;&lt;/FQL&gt;&lt;FQL&gt;&lt;Q&gt;GE-US^FF_ACCR_PAYR(ANN_R,-9,0,Y,RP,USD,M)&lt;/Q&gt;&lt;R&gt;10&lt;/R&gt;&lt;C&gt;1&lt;/C&gt;&lt;D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xsi:type="xsd:double"&gt;5114&lt;/D&gt;&lt;D xsi:type="xsd:double"&gt;4763&lt;/D&gt;&lt;/FQL&gt;&lt;FQL&gt;&lt;Q&gt;GE-US^FF_LIABS_CURR_MISC(ANN_R,-9,0,Y,RP,USD,M)&lt;/Q&gt;&lt;R&gt;10&lt;/R&gt;&lt;C&gt;1&lt;/C&gt;&lt;D xsi:type="xsd:double"&gt;25198&lt;/D&gt;&lt;D xsi:type="xsd:double"&gt;25772&lt;/D&gt;&lt;D xsi:type="xsd:double"&gt;26506&lt;/D&gt;&lt;D xsi:type="xsd:double"&gt;26860&lt;/D&gt;&lt;D xsi:type="xsd:double"&gt;39373&lt;/D&gt;&lt;D xsi:type="xsd:double"&gt;34324&lt;/D&gt;&lt;D xsi:type="xsd:double"&gt;39036&lt;/D&gt;&lt;D xsi:type="xsd:double"&gt;33346&lt;/D&gt;&lt;D xsi:type="xsd:double"&gt;32325&lt;/D&gt;&lt;D xsi:type="xsd:double"&gt;29639&lt;/D&gt;&lt;/FQL&gt;&lt;FQL&gt;&lt;Q&gt;GE-US^FF_LIABS_CURR(ANN_R,-9,0,Y,RP,USD,M)&lt;/Q&gt;&lt;R&gt;10&lt;/R&gt;&lt;C&gt;1&lt;/C&gt;&lt;D xsi:type="xsd:double"&gt;191720&lt;/D&gt;&lt;D xsi:type="xsd:double"&gt;153914&lt;/D&gt;&lt;D xsi:type="xsd:double"&gt;132134&lt;/D&gt;&lt;D xsi:type="xsd:double"&gt;111669&lt;/D&gt;&lt;D xsi:type="xsd:double"&gt;105080&lt;/D&gt;&lt;D xsi:type="xsd:double"&gt;81580&lt;/D&gt;&lt;D xsi:type="xsd:double"&gt;79296&lt;/D&gt;&lt;D xsi:type="xsd:double"&gt;60451&lt;/D&gt;&lt;D xsi:type="xsd:double"&gt;78866&lt;/D&gt;&lt;D xsi:type="xsd:double"&gt;56069&lt;/D&gt;&lt;/FQL&gt;&lt;FQL&gt;&lt;Q&gt;GE-US^ZAV(FF_CASH_ST(ANN_R,-9,0,Y,RP))/FF_LIABS_CURR(ANN_R,-9,0,Y,RP)&lt;/Q&gt;&lt;R&gt;10&lt;/R&gt;&lt;C&gt;1&lt;/C&gt;&lt;D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xsi:type="xsd:double"&gt;0.783837771317484&lt;/D&gt;&lt;/FQL&gt;&lt;FQL&gt;&lt;Q&gt;GE-US^FF_DEBT_LT(ANN_R,-9,0,Y,RP,USD,M)&lt;/Q&gt;&lt;R&gt;10&lt;/R&gt;&lt;C&gt;1&lt;/C&gt;&lt;D xsi:type="xsd:double"&gt;305118&lt;/D&gt;&lt;D xsi:type="xsd:double"&gt;303573&lt;/D&gt;&lt;D xsi:type="xsd:double"&gt;296103&lt;/D&gt;&lt;D xsi:type="xsd:double"&gt;190999&lt;/D&gt;&lt;D xsi:type="xsd:double"&gt;147742&lt;/D&gt;&lt;D xsi:type="xsd:double"&gt;105497&lt;/D&gt;&lt;D xsi:type="xsd:double"&gt;110555&lt;/D&gt;&lt;D xsi:type="xsd:double"&gt;90824&lt;/D&gt;&lt;D xsi:type="xsd:double"&gt;70848&lt;/D&gt;&lt;D xsi:type="xsd:double"&gt;73642&lt;/D&gt;&lt;/FQL&gt;&lt;FQL&gt;&lt;Q&gt;GE-US^FF_DEBT_LT_REVOLV_TOT(ANN_R,-9,0,Y,RP,USD,M)&lt;/Q&gt;&lt;R&gt;0&lt;/R&gt;&lt;C&gt;0&lt;/C&gt;&lt;/FQL&gt;&lt;FQL&gt;&lt;Q&gt;GE-US^FF_DEBT_LT_REVOLV_SECURE_CP(ANN_R,-9,0,Y,RP,USD,M)&lt;/Q&gt;&lt;R&gt;0&lt;/R&gt;&lt;C&gt;0&lt;/C&gt;&lt;/FQL&gt;&lt;FQL&gt;&lt;Q&gt;GE-US^FF_DEBT_LT_REVOLV_UNSECURE_CP(ANN_R,-9,0,Y,RP,USD,M)&lt;/Q&gt;&lt;R&gt;0&lt;/R&gt;&lt;C&gt;0&lt;/C&gt;&lt;/FQL&gt;&lt;FQL&gt;&lt;Q&gt;GE-US^FF_DEBT_LT_REVOLV_SECURE_CURR(ANN_R,-9,0,Y,RP,USD,M)&lt;/Q&gt;&lt;R&gt;0&lt;/R&gt;&lt;C&gt;0&lt;/C&gt;&lt;/FQL&gt;&lt;FQL&gt;&lt;Q&gt;GE-US^FF_DEBT_LT_REVOLV_UNSECURE_CURR(ANN_R,-9,0,Y,RP,USD,M)&lt;/Q&gt;&lt;R&gt;0&lt;/R&gt;&lt;C&gt;0&lt;/C&gt;&lt;/FQL&gt;&lt;FQL&gt;&lt;Q&gt;GE-US^FF_DEBT_LT_REVOLV_SECURE(ANN_R,-9,0,Y,RP,USD,M)&lt;/Q&gt;&lt;R&gt;0&lt;/R&gt;&lt;C&gt;0&lt;/C&gt;&lt;/FQL&gt;&lt;FQL&gt;&lt;Q&gt;GE-US^FF_DEBT_LT_REVOLV_UNSECURE(ANN_R,-9,0,Y,RP,USD,M)&lt;/Q&gt;&lt;R&gt;0&lt;/R&gt;&lt;C&gt;0&lt;/C&gt;&lt;/FQL&gt;&lt;FQL&gt;&lt;Q&gt;GE-US^FF_DEBT_SECURE_FACIL_SWING_SUBORD(ANN_R,-9,0,Y,RP,USD,M)&lt;/Q&gt;&lt;R&gt;0&lt;/R&gt;&lt;C&gt;0&lt;/C&gt;&lt;/FQL&gt;&lt;FQL&gt;&lt;Q&gt;GE-US^FF_DEBT_UNSECURE_FACIL_SWING_SUBORD(ANN_R,-9,0,Y,RP,USD,M)&lt;/Q&gt;&lt;R&gt;0&lt;/R&gt;&lt;C&gt;0&lt;/C&gt;&lt;/FQL&gt;&lt;FQL&gt;&lt;Q&gt;GE-US^FF_DEBT_LT_REVOLV_SECURE_FACIL_OTH(ANN_R,-9,0,Y,RP,USD,M)&lt;/Q&gt;&lt;R&gt;0&lt;/R&gt;&lt;C&gt;0&lt;/C&gt;&lt;/FQL&gt;&lt;FQL&gt;&lt;Q&gt;GE-US^FF_DEBT_LT_REVOLV_UNSECURE_FACIL_OTH(ANN_R,-9,0,Y,RP,USD,M)&lt;/Q&gt;&lt;R&gt;0&lt;/R&gt;&lt;C&gt;0&lt;/C&gt;&lt;/FQL&gt;&lt;FQL&gt;&lt;Q&gt;GE-US^FF_DEBT_LT_REVOLV_FACIL_DIP(ANN_R,-9,0,Y,RP,USD,M)&lt;/Q&gt;&lt;R&gt;0&lt;/R&gt;&lt;C&gt;0&lt;/C&gt;&lt;/FQL&gt;&lt;FQL&gt;&lt;Q&gt;GE-US^FF_DEBT_LT_REVOLV_FACIL_AB(ANN_R,-9,0,Y,RP,USD,M)&lt;/Q&gt;&lt;R&gt;0&lt;/R&gt;&lt;C&gt;0&lt;/C&gt;&lt;/FQL&gt;&lt;FQL&gt;&lt;Q&gt;GE-US^FF_DEBT_LOAN_TOT(ANN_R,-9,0,Y,RP,USD,M)&lt;/Q&gt;&lt;R&gt;0&lt;/R&gt;&lt;C&gt;0&lt;/C&gt;&lt;/FQL&gt;&lt;FQL&gt;&lt;Q&gt;GE-US^FF_DEBT_LT_REPOS(ANN_R,-9,0,Y,RP,USD,M)&lt;/Q&gt;&lt;R&gt;0&lt;/R&gt;&lt;C&gt;0&lt;/C&gt;&lt;/FQL&gt;&lt;FQL&gt;&lt;Q&gt;GE-US^FF_DEBT_LOAN_ADV_FHLB(ANN_R,-9,0,Y,RP,USD,M)&lt;/Q&gt;&lt;R&gt;0&lt;/R&gt;&lt;C&gt;0&lt;/C&gt;&lt;/FQL&gt;&lt;FQL&gt;&lt;Q&gt;GE-US^FF_DEBT_LOAN_ADV_FFCB(ANN_R,-9,0,Y,RP,USD,M)&lt;/Q&gt;&lt;R&gt;0&lt;/R&gt;&lt;C&gt;0&lt;/C&gt;&lt;/FQL&gt;&lt;FQL&gt;&lt;Q&gt;GE-US^FF_DEBT_LOAN_SECURE_LIEN1(ANN_R,-9,0,Y,RP,USD,M)&lt;/Q&gt;&lt;R&gt;0&lt;/R&gt;&lt;C&gt;0&lt;/C&gt;&lt;/FQL&gt;&lt;FQL&gt;&lt;Q&gt;GE-US^FF_DEBT_LOAN_SECURE_LIEN2(ANN_R,-9,0,Y,RP,USD,M)&lt;/Q&gt;&lt;R&gt;0&lt;/R&gt;&lt;C&gt;0&lt;/C&gt;&lt;/FQL&gt;&lt;FQL&gt;&lt;Q&gt;GE-US^FF_DEBT_LOAN_SECURE_LIEN3(ANN_R,-9,0,Y,RP,USD,M)&lt;/Q&gt;&lt;R&gt;0&lt;/R&gt;&lt;C&gt;0&lt;/C&gt;&lt;/FQL&gt;&lt;FQL&gt;&lt;Q&gt;GE-US^FF_DEBT_LOAN_SECURE_DELAY_DRAW(ANN_R,-9,0,Y,RP,USD,M)&lt;/Q&gt;&lt;R&gt;0&lt;/R&gt;&lt;C&gt;0&lt;/C&gt;&lt;/FQL&gt;&lt;FQL&gt;&lt;Q&gt;GE-US^FF_DEBT_LOAN_UNSECURE(ANN_R,-9,0,Y,RP,USD,M)&lt;/Q&gt;&lt;R&gt;0&lt;/R&gt;&lt;C&gt;0&lt;/C&gt;&lt;/FQL&gt;&lt;FQL&gt;&lt;Q&gt;GE-US^FF_DEBT_LOAN_UNSECURE_DELAY_DRAW(ANN_R,-9,0,Y,RP,USD,M)&lt;/Q&gt;&lt;R&gt;0&lt;/R&gt;&lt;C&gt;0&lt;/C&gt;&lt;/FQL&gt;&lt;FQL&gt;&lt;Q&gt;GE-US^FF_DEBT_LOAN_FACIL_DIP(ANN_R,-9,0,Y,RP,USD,M)&lt;/Q&gt;&lt;R&gt;0&lt;/R&gt;&lt;C&gt;0&lt;/C&gt;&lt;/FQL&gt;&lt;FQL&gt;&lt;Q&gt;GE-US^FF_DEBT_LOAN_SECURE_PLACE_PRIV(ANN_R,-9,0,Y,RP,USD,M)&lt;/Q&gt;&lt;R&gt;0&lt;/R&gt;&lt;C&gt;0&lt;/C&gt;&lt;/FQL&gt;&lt;FQL&gt;&lt;Q&gt;GE-US^FF_DEBT_LOAN_UNSECURE_PLACE_PRIV(ANN_R,-9,0,Y,RP,USD,M)&lt;/Q&gt;&lt;R&gt;0&lt;/R&gt;&lt;C&gt;0&lt;/C&gt;&lt;/FQL&gt;&lt;FQL&gt;&lt;Q&gt;GE-US^FF_DEBT_LOAN_MTGE(ANN_R,-9,0,Y,RP,USD,M)&lt;/Q&gt;&lt;R&gt;0&lt;/R&gt;&lt;C&gt;0&lt;/C&gt;&lt;/FQL&gt;&lt;FQL&gt;&lt;Q&gt;GE-US^FF_DEBT_LOAN_OTH(ANN_R,-9,0,Y,RP,USD,M)&lt;/Q&gt;&lt;R&gt;0&lt;/R&gt;&lt;C&gt;0&lt;/C&gt;&lt;/FQL&gt;&lt;FQL&gt;&lt;Q&gt;GE-US^FF_DEBT_NOTES_BONDS_TOT(ANN_R,-9,0,Y,RP,USD,M)&lt;/Q&gt;&lt;R&gt;0&lt;/R&gt;&lt;C&gt;0&lt;/C&gt;&lt;/FQL&gt;&lt;FQL&gt;&lt;Q&gt;GE-US^FF_DEBT_GTD_FDIC(ANN_R,-9,0,Y,RP,USD,M)&lt;/Q&gt;&lt;R&gt;0&lt;/R&gt;&lt;C&gt;0&lt;/C&gt;&lt;/FQL&gt;&lt;FQL&gt;&lt;Q&gt;GE-US^FF_DEBT_BONDS_MTGE1(ANN_R,-9,0,Y,RP,USD,M)&lt;/Q&gt;&lt;R&gt;0&lt;/R&gt;&lt;C&gt;0&lt;/C&gt;&lt;/FQL&gt;&lt;FQL&gt;&lt;Q&gt;GE-US^FF_DEBT_BONDS_MUNI(ANN_R,-9,0,Y,RP,USD,M)&lt;/Q&gt;&lt;R&gt;0&lt;/R&gt;&lt;C&gt;0&lt;/C&gt;&lt;/FQL&gt;&lt;FQL&gt;&lt;Q&gt;GE-US^FF_DEBT_BONDS_SECURE_LIEN1(ANN_R,-9,0,Y,RP,USD,M)&lt;/Q&gt;&lt;R&gt;0&lt;/R&gt;&lt;C&gt;0&lt;/C&gt;&lt;/FQL&gt;&lt;FQL&gt;&lt;Q&gt;GE-US^FF_DEBT_BONDS_SECURE_LIEN2(ANN_R,-9,0,Y,RP,USD,M)&lt;/Q&gt;&lt;R&gt;0&lt;/R&gt;&lt;C&gt;0&lt;/C&gt;&lt;/FQL&gt;&lt;FQL&gt;&lt;Q&gt;GE-US^FF_DEBT_BONDS_SECURE_LIEN3(ANN_R,-9,0,Y,RP,USD,M)&lt;/Q&gt;&lt;R&gt;0&lt;/R&gt;&lt;C&gt;0&lt;/C&gt;&lt;/FQL&gt;&lt;FQL&gt;&lt;Q&gt;GE-US^FF_DEBT_BONDS_UNSECURE_SR(ANN_R,-9,0,Y,RP,USD,M)&lt;/Q&gt;&lt;R&gt;0&lt;/R&gt;&lt;C&gt;0&lt;/C&gt;&lt;/FQL&gt;&lt;FQL&gt;&lt;Q&gt;GE-US^FF_DEBT_NOTES_SURPLUS_SR(ANN_R,-9,0,Y,RP,USD,M)&lt;/Q&gt;&lt;R&gt;0&lt;/R&gt;&lt;C&gt;0&lt;/C&gt;&lt;/FQL&gt;&lt;FQL&gt;&lt;Q&gt;GE-US^FF_DEBT_BONDS_SUBORD_SR(ANN_R,-9,0,Y,RP,USD,M)&lt;/Q&gt;&lt;R&gt;0&lt;/R&gt;&lt;C&gt;0&lt;/C&gt;&lt;/FQL&gt;&lt;FQL&gt;&lt;Q&gt;GE-US^FF_DEBT_BONDS_SUBORD(ANN_R,-9,0,Y,RP,USD,M)&lt;/Q&gt;&lt;R&gt;0&lt;/R&gt;&lt;C&gt;0&lt;/C&gt;&lt;/FQL&gt;&lt;FQL&gt;&lt;Q&gt;GE-US^FF_DEBT_NOTES_SURPLUS_SUBORD(ANN_R,-9,0,Y,RP,USD,M)&lt;/Q&gt;&lt;R&gt;0&lt;/R&gt;&lt;C&gt;0&lt;/C&gt;&lt;/FQL&gt;&lt;FQL&gt;&lt;Q&gt;GE-US^FF_DEBT_BONDS_JR(ANN_R,-9,0,Y,RP,USD,M)&lt;/Q&gt;&lt;R&gt;0&lt;/R&gt;&lt;C&gt;0&lt;/C&gt;&lt;/FQL&gt;&lt;FQL&gt;&lt;Q&gt;GE-US^FF_DEBT_BONDS_SUBORD_JR(ANN_R,-9,0,Y,RP,USD,M)&lt;/Q&gt;&lt;R&gt;0&lt;/R&gt;&lt;C&gt;0&lt;/C&gt;&lt;/FQL&gt;&lt;FQL&gt;&lt;Q&gt;GE-US^FF_DEBT_BONDS_CONV_SR(ANN_R,-9,0,Y,RP,USD,M)&lt;/Q&gt;&lt;R&gt;0&lt;/R&gt;&lt;C&gt;0&lt;/C&gt;&lt;/FQL&gt;&lt;FQL&gt;&lt;Q&gt;GE-US^FF_DEBT_BONDS_CONV_SUBORD_SR(ANN_R,-9,0,Y,RP,USD,M)&lt;/Q&gt;&lt;R&gt;0&lt;/R&gt;&lt;C&gt;0&lt;/C&gt;&lt;/FQL&gt;&lt;FQL&gt;&lt;Q&gt;GE-US^FF_DEBT_BONDS_CONV_SUBORD (ANN_R,-9,0,Y,RP,USD,M)&lt;/Q&gt;&lt;R&gt;0&lt;/R&gt;&lt;C&gt;0&lt;/C&gt;&lt;/FQL&gt;&lt;FQL&gt;&lt;Q&gt;GE-US^FF_DEBT_BONDS_CONV_JR(ANN_R,-9,0,Y,RP,USD,M)&lt;/Q&gt;&lt;R&gt;0&lt;/R&gt;&lt;C&gt;0&lt;/C&gt;&lt;/FQL&gt;&lt;FQL&gt;&lt;Q&gt;GE-US^FF_DEBT_BONDS_CONV_SUBORD_JR(ANN_R,-9,0,Y,RP,USD,M)&lt;/Q&gt;&lt;R&gt;0&lt;/R&gt;&lt;C&gt;0&lt;/C&gt;&lt;/FQL&gt;&lt;FQL&gt;&lt;Q&gt;GE-US^FF_DEBT_BONDS_COVERED(ANN_R,-9,0,Y,RP,USD,M)&lt;/Q&gt;&lt;R&gt;0&lt;/R&gt;&lt;C&gt;0&lt;/C&gt;&lt;/FQL&gt;&lt;FQL&gt;&lt;Q&gt;GE-US^FF_DEBT_RECEIV_EQUIP_TRUST(ANN_R,-9,0,Y,RP,USD,M)&lt;/Q&gt;&lt;R&gt;0&lt;/R&gt;&lt;C&gt;0&lt;/C&gt;&lt;/FQL&gt;&lt;FQL&gt;&lt;Q&gt;GE-US^FF_DEBT_RECEIV_MTGE_RES(ANN_R,-9,0,Y,RP,USD,M)&lt;/Q&gt;&lt;R&gt;0&lt;/R&gt;&lt;C&gt;0&lt;/C&gt;&lt;/FQL&gt;&lt;FQL&gt;&lt;Q&gt;GE-US^FF_DEBT_RECEIV_MTGE_COMML(ANN_R,-9,0,Y,RP,USD,M)&lt;/Q&gt;&lt;R&gt;0&lt;/R&gt;&lt;C&gt;0&lt;/C&gt;&lt;/FQL&gt;&lt;FQL&gt;&lt;Q&gt;GE-US^FF_DEBT_RECEIV_AUTO(ANN_R,-9,0,Y,RP,USD,M)&lt;/Q&gt;&lt;R&gt;0&lt;/R&gt;&lt;C&gt;0&lt;/C&gt;&lt;/FQL&gt;&lt;FQL&gt;&lt;Q&gt;GE-US^FF_DEBT_RECEIV_CR_CARD(ANN_R,-9,0,Y,RP,USD,M)&lt;/Q&gt;&lt;R&gt;0&lt;/R&gt;&lt;C&gt;0&lt;/C&gt;&lt;/FQL&gt;&lt;FQL&gt;&lt;Q&gt;GE-US^FF_DEBT_CDO(ANN_R,-9,0,Y,RP,USD,M)&lt;/Q&gt;&lt;R&gt;0&lt;/R&gt;&lt;C&gt;0&lt;/C&gt;&lt;/FQL&gt;&lt;FQL&gt;&lt;Q&gt;GE-US^FF_DEBT_RECEIV_OTH(ANN_R,-9,0,Y,RP,USD,M)&lt;/Q&gt;&lt;R&gt;0&lt;/R&gt;&lt;C&gt;0&lt;/C&gt;&lt;/FQL&gt;&lt;FQL&gt;&lt;Q&gt;GE-US^FF_DEBT_TRUST_PFD(ANN_R,-9,0,Y,RP,USD,M)&lt;/Q&gt;&lt;R&gt;0&lt;/R&gt;&lt;C&gt;0&lt;/C&gt;&lt;/FQL&gt;&lt;FQL&gt;&lt;Q&gt;GE-US^FF_DEBT_LT_STRAIGHT_PFD(ANN_R,-9,0,Y,RP,USD,M)&lt;/Q&gt;&lt;R&gt;0&lt;/R&gt;&lt;C&gt;0&lt;/C&gt;&lt;/FQL&gt;&lt;FQL&gt;&lt;Q&gt;GE-US^FF_DEBT_LT_CONV_PFD(ANN_R,-9,0,Y,RP,USD,M)&lt;/Q&gt;&lt;R&gt;0&lt;/R&gt;&lt;C&gt;0&lt;/C&gt;&lt;/FQL&gt;&lt;FQL&gt;&lt;Q&gt;GE-US^FF_DEBT_BONDS_OTH(ANN_R,-9,0,Y,RP,USD,M)&lt;/Q&gt;&lt;R&gt;0&lt;/R&gt;&lt;C&gt;0&lt;/C&gt;&lt;/FQL&gt;&lt;FQL&gt;&lt;Q&gt;GE-US^FF_DEBT_OTH_TOT(ANN_R,-9,0,Y,RP,USD,M)&lt;/Q&gt;&lt;R&gt;0&lt;/R&gt;&lt;C&gt;0&lt;/C&gt;&lt;/FQL&gt;&lt;FQL&gt;&lt;Q&gt;GE-US^FF_DEBT_OTH_ADJ(ANN_R,-9,0,Y,RP,USD,M)&lt;/Q&gt;&lt;R&gt;0&lt;/R&gt;&lt;C&gt;0&lt;/C&gt;&lt;/FQL&gt;&lt;FQL&gt;&lt;Q&gt;GE-US^FF_DEBT_OTH_CAPL(ANN_R,-9,0,Y,RP,USD,M)&lt;/Q&gt;&lt;R&gt;0&lt;/R&gt;&lt;C&gt;0&lt;/C&gt;&lt;/FQL&gt;&lt;FQL&gt;&lt;Q&gt;GE-US^-FF_DEBT_OTH_LT_CURR(ANN_R,-9,0,Y,RP,USD,M)&lt;/Q&gt;&lt;R&gt;0&lt;/R&gt;&lt;C&gt;0&lt;/C&gt;&lt;/FQL&gt;&lt;FQL&gt;&lt;Q&gt;GE-US^PCTCHG(FF_DEBT_LT(ANN_R,-9,0,Y,RP,LOCAL,M),FF_DEBT_LT(ANN_R,-9-1,0-1,Y,RP,LOCAL,M))&lt;/Q&gt;&lt;R&gt;10&lt;/R&gt;&lt;C&gt;1&lt;/C&gt;&lt;D xsi:type="xsd:double"&gt;-12.868737&lt;/D&gt;&lt;D xsi:type="xsd:double"&gt;-0.5063615&lt;/D&gt;&lt;D xsi:type="xsd:double"&gt;-2.4606931&lt;/D&gt;&lt;D xsi:type="xsd:double"&gt;-35.495758&lt;/D&gt;&lt;D xsi:type="xsd:double"&gt;-22.647762&lt;/D&gt;&lt;D xsi:type="xsd:double"&gt;-28.593765&lt;/D&gt;&lt;D xsi:type="xsd:double"&gt;4.7944493&lt;/D&gt;&lt;D xsi:type="xsd:double"&gt;-17.847225&lt;/D&gt;&lt;D xsi:type="xsd:double"&gt;-21.994186&lt;/D&gt;&lt;D xsi:type="xsd:double"&gt;3.943654&lt;/D&gt;&lt;/FQL&gt;&lt;FQL&gt;&lt;Q&gt;GE-US^FF_PROV_RISK(ANN_R,-9,0,Y,RP,USD,M)&lt;/Q&gt;&lt;R&gt;10&lt;/R&gt;&lt;C&gt;1&lt;/C&gt;&lt;D xsi:type="xsd:double"&gt;69204&lt;/D&gt;&lt;D xsi:type="xsd:double"&gt;67728&lt;/D&gt;&lt;D xsi:type="xsd:double"&gt;54397&lt;/D&gt;&lt;D xsi:type="xsd:double"&gt;69670&lt;/D&gt;&lt;D xsi:type="xsd:double"&gt;66179&lt;/D&gt;&lt;D xsi:type="xsd:double"&gt;69866&lt;/D&gt;&lt;D xsi:type="xsd:double"&gt;79766&lt;/D&gt;&lt;D xsi:type="xsd:double"&gt;69458&lt;/D&gt;&lt;D xsi:type="xsd:double"&gt;74460&lt;/D&gt;&lt;D xsi:type="xsd:double"&gt;75010&lt;/D&gt;&lt;/FQL&gt;&lt;FQL&gt;&lt;Q&gt;GE-US^FF_DFD_TAX_CR(ANN_R,-9,0,Y,RP,USD,M)&lt;/Q&gt;&lt;R&gt;10&lt;/R&gt;&lt;C&gt;1&lt;/C&gt;&lt;D xsi:type="xsd:double"&gt;30557&lt;/D&gt;&lt;D xsi:type="xsd:double"&gt;31855&lt;/D&gt;&lt;D xsi:type="xsd:double"&gt;28233&lt;/D&gt;&lt;D xsi:type="xsd:double"&gt;21808&lt;/D&gt;&lt;D xsi:type="xsd:double"&gt;22077&lt;/D&gt;&lt;D xsi:type="xsd:double"&gt;24366&lt;/D&gt;&lt;D xsi:type="xsd:double"&gt;13370&lt;/D&gt;&lt;D xsi:type="xsd:double"&gt;8576&lt;/D&gt;&lt;D xsi:type="xsd:double"&gt;1499&lt;/D&gt;&lt;D xsi:type="xsd:double"&gt;1598&lt;/D&gt;&lt;/FQL&gt;&lt;FQL&gt;&lt;Q&gt;GE-US^FF_LIABS_OTH(ANN_R,-9,0,Y,RP,USD,M)&lt;/Q&gt;&lt;R&gt;10&lt;/R&gt;&lt;C&gt;1&lt;/C&gt;&lt;D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xsi:type="xsd:double"&gt;38480&lt;/D&gt;&lt;D xsi:type="xsd:double"&gt;10703&lt;/D&gt;&lt;D xsi:type="xsd:double"&gt;11170&lt;/D&gt;&lt;/FQL&gt;&lt;FQL&gt;&lt;Q&gt;GE-US^FF_DFD_TAX_RSRV(ANN_R,-9,0,Y,RP,USD,M)&lt;/Q&gt;&lt;R&gt;10&lt;/R&gt;&lt;C&gt;1&lt;/C&gt;&lt;D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xsi:type="xsd:string"&gt;@NA&lt;/D&gt;&lt;/FQL&gt;&lt;FQL&gt;&lt;Q&gt;GE-US^FF_LIABS_OTH_XDFD_REV(ANN_R,-9,0,Y,RP,USD,M)&lt;/Q&gt;&lt;R&gt;10&lt;/R&gt;&lt;C&gt;1&lt;/C&gt;&lt;D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</t>
      </text>
    </comment>
    <comment ref="A4" authorId="0" shapeId="0">
      <text>
        <t>pe="xsd:double"&gt;38480&lt;/D&gt;&lt;D xsi:type="xsd:double"&gt;9148&lt;/D&gt;&lt;D xsi:type="xsd:double"&gt;9369&lt;/D&gt;&lt;/FQL&gt;&lt;FQL&gt;&lt;Q&gt;GE-US^FF_DFD_INC(ANN_R,-9,0,Y,RP,USD,M)&lt;/Q&gt;&lt;R&gt;10&lt;/R&gt;&lt;C&gt;1&lt;/C&gt;&lt;D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xsi:type="xsd:double"&gt;1555&lt;/D&gt;&lt;D xsi:type="xsd:double"&gt;1801&lt;/D&gt;&lt;/FQL&gt;&lt;FQL&gt;&lt;Q&gt;GE-US^FF_LIABS(ANN_R,-9,0,Y,RP,USD,M)&lt;/Q&gt;&lt;R&gt;10&lt;/R&gt;&lt;C&gt;1&lt;/C&gt;&lt;D xsi:type="xsd:double"&gt;629796&lt;/D&gt;&lt;D xsi:type="xsd:double"&gt;588788&lt;/D&gt;&lt;D xsi:type="xsd:double"&gt;548010&lt;/D&gt;&lt;D xsi:type="xsd:double"&gt;539831&lt;/D&gt;&lt;D xsi:type="xsd:double"&gt;412038&lt;/D&gt;&lt;D xsi:type="xsd:double"&gt;309033&lt;/D&gt;&lt;D xsi:type="xsd:double"&gt;305726&lt;/D&gt;&lt;D xsi:type="xsd:double"&gt;267789&lt;/D&gt;&lt;D xsi:type="xsd:double"&gt;236376&lt;/D&gt;&lt;D xsi:type="xsd:double"&gt;217489&lt;/D&gt;&lt;/FQL&gt;&lt;FQL&gt;&lt;Q&gt;GE-US^FF_LIABS_ASSETS(ANN_R,-9,0,Y,RP,LOCAL,M)&lt;/Q&gt;&lt;R&gt;10&lt;/R&gt;&lt;C&gt;1&lt;/C&gt;&lt;D xsi:type="xsd:double"&gt;84.20520636958&lt;/D&gt;&lt;D xsi:type="xsd:double"&gt;82.088732366875&lt;/D&gt;&lt;D xsi:type="xsd:double"&gt;80.0256427854841&lt;/D&gt;&lt;D xsi:type="xsd:double"&gt;79.7667422225243&lt;/D&gt;&lt;D xsi:type="xsd:double"&gt;79.9843928346805&lt;/D&gt;&lt;D xsi:type="xsd:double"&gt;79.3309699164932&lt;/D&gt;&lt;D xsi:type="xsd:double"&gt;79.9043424852659&lt;/D&gt;&lt;D xsi:type="xsd:double"&gt;83.7762163379718&lt;/D&gt;&lt;D xsi:type="xsd:double"&gt;88.6378976735814&lt;/D&gt;&lt;D xsi:type="xsd:double"&gt;85.2730837090766&lt;/D&gt;&lt;/FQL&gt;&lt;FQL&gt;&lt;Q&gt;GE-US^FF_RSRV_NONEQ(ANN_R,-9,0,Y,RP,USD,M)&lt;/Q&gt;&lt;R&gt;10&lt;/R&gt;&lt;C&gt;1&lt;/C&gt;&lt;D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xsi:type="xsd:double"&gt;6&lt;/D&gt;&lt;/FQL&gt;&lt;FQL&gt;&lt;Q&gt;GE-US^FF_PFD_STK_RED(ANN_R,-9,0,Y,RP,USD,M)&lt;/Q&gt;&lt;R&gt;10&lt;/R&gt;&lt;C&gt;1&lt;/C&gt;&lt;D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xsi:type="xsd:double"&gt;0&lt;/D&gt;&lt;/FQL&gt;&lt;FQL&gt;&lt;Q&gt;GE-US^FF_PFD_STK_NRED(ANN_R,-9,0,Y,RP,USD,M)&lt;/Q&gt;&lt;R&gt;10&lt;/R&gt;&lt;C&gt;1&lt;/C&gt;&lt;D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xsi:type="xsd:double"&gt;0&lt;/D&gt;&lt;/FQL&gt;&lt;FQL&gt;&lt;Q&gt;GE-US^FF_PFD_STK_ESOP_GTD(ANN_R,-9,0,Y,RP,USD,M)&lt;/Q&gt;&lt;R&gt;10&lt;/R&gt;&lt;C&gt;1&lt;/C&gt;&lt;D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xsi:type="xsd:double"&gt;98268&lt;/D&gt;&lt;D xsi:type="xsd:double"&gt;75822&lt;/D&gt;&lt;D xsi:type="xsd:double"&gt;56024&lt;/D&gt;&lt;D xsi:type="xsd:double"&gt;30975&lt;/D&gt;&lt;D xsi:type="xsd:double"&gt;28310&lt;/D&gt;&lt;D xsi:type="xsd:double"&gt;35546&lt;/D&gt;&lt;/FQL&gt;&lt;FQL&gt;&lt;Q&gt;GE-US^FF_COM_EQ_PAR(ANN_R,-9,0,Y,RP,USD,M)&lt;/Q&gt;&lt;R&gt;10&lt;/R&gt;&lt;C&gt;1&lt;/C&gt;&lt;D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xsi:type="xsd:double"&gt;702&lt;/D&gt;&lt;/FQL&gt;&lt;FQL&gt;&lt;Q&gt;GE-US^FF_COM_EQ_APIC(ANN_R,-9,0,Y,RP,USD,M)&lt;/Q&gt;&lt;R&gt;10&lt;/R&gt;&lt;C&gt;1&lt;/C&gt;&lt;D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xsi:type="xsd:string"&gt;@NA&lt;/D&gt;&lt;/FQL&gt;&lt;FQL&gt;&lt;Q&gt;GE-US^FF_COM_EQ_RETAIN_EARN(ANN_R,-9,0,Y,RP,USD,M)&lt;/Q&gt;&lt;R&gt;10&lt;/R&gt;&lt;C&gt;1&lt;/C&gt;&lt;D xsi:type="xsd:double"&gt;137786&lt;/D&gt;&lt;D xsi:type="xsd:double"&gt;144055&lt;/D&gt;&lt;D xsi:type="xsd:double"&gt;149051&lt;/D&gt;&lt;D xsi:type="xsd:double"&gt;155333&lt;/D&gt;&lt;D xsi:type="xsd:double"&gt;140020&lt;/D&gt;&lt;D xsi:type="xsd:double"&gt;139532&lt;/D&gt;&lt;D xsi:type="xsd:double"&gt;117245&lt;/D&gt;&lt;D xsi:type="xsd:double"&gt;93109&lt;/D&gt;&lt;D xsi:type="xsd:double"&gt;87732&lt;/D&gt;&lt;D xsi:type="xsd:double"&gt;92247&lt;/D&gt;&lt;/FQL&gt;&lt;FQL&gt;&lt;Q&gt;GE-US^-FF_COM_STK_ESOP(ANN_R,-9,0,Y,RP,USD,M)&lt;/Q&gt;&lt;R&gt;10&lt;/R&gt;&lt;C&gt;1&lt;/C&gt;&lt;D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xsi:type="xsd:double"&gt;0&lt;/D&gt;&lt;/FQL&gt;&lt;FQL&gt;&lt;Q&gt;GE-US^FF_COM_EQ_FOR_EXCH(ANN_R,-9,0,Y,RP,USD,M)&lt;/Q&gt;&lt;R&gt;10&lt;/R&gt;&lt;C&gt;1&lt;/C&gt;&lt;D xsi:type="xsd:double"&gt;133&lt;/D&gt;&lt;D xsi:type="xsd:double"&gt;412&lt;/D&gt;&lt;D xsi:type="xsd:double"&gt;126&lt;/D&gt;&lt;D xsi:type="xsd:double"&gt;-2428&lt;/D&gt;&lt;D xsi:type="xsd:double"&gt;-5499&lt;/D&gt;&lt;D xsi:type="xsd:double"&gt;-6816&lt;/D&gt;&lt;D xsi:type="xsd:double"&gt;-4661&lt;/D&gt;&lt;D xsi:type="xsd:double"&gt;-6134&lt;/D&gt;&lt;D xsi:type="xsd:double"&gt;-4818&lt;/D&gt;&lt;D xsi:type="xsd:double"&gt;-4386&lt;/D&gt;&lt;/FQL&gt;&lt;FQL&gt;&lt;Q&gt;GE-US^FF_COM_EQ_GL(ANN_R,-9,0,Y,RP,USD,M)&lt;/Q&gt;&lt;R&gt;10&lt;/R&gt;&lt;C&gt;1&lt;/C&gt;&lt;D xsi:type="xsd:double"&gt;-30&lt;/D&gt;&lt;D xsi:type="xsd:double"&gt;677&lt;/D&gt;&lt;D xsi:type="xsd:double"&gt;307&lt;/D&gt;&lt;D xsi:type="xsd:double"&gt;1013&lt;/D&gt;&lt;D xsi:type="xsd:double"&gt;460&lt;/D&gt;&lt;D xsi:type="xsd:double"&gt;674&lt;/D&gt;&lt;D xsi:type="xsd:double"&gt;-102&lt;/D&gt;&lt;D xsi:type="xsd:double"&gt;-39&lt;/D&gt;&lt;D xsi:type="xsd:double"&gt;61&lt;/D&gt;&lt;D xsi:type="xsd:double"&gt;60&lt;/D&gt;&lt;/FQL&gt;&lt;FQL&gt;&lt;Q&gt;GE-US^FF_RSRV_REVAL(ANN_R,-9,0,Y,RP,USD,M)&lt;/Q&gt;&lt;R&gt;10&lt;/R&gt;&lt;C&gt;1&lt;/C&gt;&lt;D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xsi:type="xsd:double"&gt;0&lt;/D&gt;&lt;/FQL&gt;&lt;FQL&gt;&lt;Q&gt;GE-US^FF_RSRV_APPR_OTH(ANN_R,-9,0,Y,RP,USD,M)&lt;/Q&gt;&lt;R&gt;10&lt;/R&gt;&lt;C&gt;1&lt;/C&gt;&lt;D xsi:type="xsd:double"&gt;9616&lt;/D&gt;&lt;D xsi:type="xsd:double"&gt;11751&lt;/D&gt;&lt;D xsi:type="xsd:double"&gt;22941&lt;/D&gt;&lt;D xsi:type="xsd:double"&gt;16132&lt;/D&gt;&lt;D xsi:type="xsd:double"&gt;26124&lt;/D&gt;&lt;D xsi:type="xsd:double"&gt;24768&lt;/D&gt;&lt;D xsi:type="xsd:double"&gt;27742&lt;/D&gt;&lt;D xsi:type="xsd:double"&gt;27262&lt;/D&gt;&lt;D xsi:type="xsd:double"&gt;27430&lt;/D&gt;&lt;D xsi:type="xsd:double"&gt;28884&lt;/D&gt;&lt;/FQL&gt;&lt;FQL&gt;&lt;Q&gt;GE-US^FF_RSRV_UNAPPR(ANN_R,-9,0,Y,RP,USD,M)&lt;/Q&gt;&lt;R&gt;10&lt;/R&gt;&lt;C&gt;1&lt;/C&gt;&lt;D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xsi:type="xsd:string"&gt;@NA&lt;/D&gt;&lt;/FQL&gt;&lt;FQL&gt;&lt;Q&gt;GE-US^-FF_TREAS_STK(ANN_R,-9,0,Y,RP,USD,M)&lt;/Q&gt;&lt;R&gt;10&lt;/R&gt;&lt;C&gt;1&lt;/C&gt;&lt;D xsi:type="xsd:double"&gt;-31769&lt;/D&gt;&lt;D xsi:type="xsd:double"&gt;-34571&lt;/D&gt;&lt;D xsi:type="xsd:double"&gt;-42561&lt;/D&gt;&lt;D xsi:type="xsd:double"&gt;-42593&lt;/D&gt;&lt;D xsi:type="xsd:double"&gt;-63539&lt;/D&gt;&lt;D xsi:type="xsd:double"&gt;-83038&lt;/D&gt;&lt;D xsi:type="xsd:double"&gt;-84902&lt;/D&gt;&lt;D xsi:type="xsd:double"&gt;-83925&lt;/D&gt;&lt;D xsi:type="xsd:double"&gt;-82797&lt;/D&gt;&lt;D xsi:type="xsd:double"&gt;-81961&lt;/D&gt;&lt;/FQL&gt;&lt;FQL&gt;&lt;Q&gt;GE-US^FF_SHS_REPURCH(TOTAL_VAL_REPURCH,ANN_R,-9,0,Y,RP,USD,M)&lt;/Q&gt;&lt;R&gt;1&lt;/R&gt;&lt;C&gt;1&lt;/C&gt;&lt;D xsi:type="xsd:string"&gt;#NUM&lt;/D&gt;&lt;/FQL&gt;&lt;FQL&gt;&lt;Q&gt;GE-US^FF_COM_EQ_ASSETS(ANN_R,-9,0,Y,RP)&lt;/Q&gt;&lt;R&gt;10&lt;/R&gt;&lt;C&gt;1&lt;/C&gt;&lt;D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xsi:type="xsd:double"&gt;19.0756831046612&lt;/D&gt;&lt;D xsi:type="xsd:double"&gt;19.4640468849875&lt;/D&gt;&lt;D xsi:type="xsd:double"&gt;14.642395096899&lt;/D&gt;&lt;D xsi:type="xsd:double"&gt;9.69034688156973&lt;/D&gt;&lt;D xsi:type="xsd:double"&gt;10.6158784442545&lt;/D&gt;&lt;D xsi:type="xsd:double"&gt;13.936875122525&lt;/D&gt;&lt;/FQL&gt;&lt;FQL&gt;&lt;Q&gt;GE-US^FF_SHLDRS_EQ(ANN_R,-9,0,Y,RP,USD,M)&lt;/Q&gt;&lt;R&gt;10&lt;/R&gt;&lt;C&gt;1&lt;/C&gt;&lt;D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xsi:type="xsd:double"&gt;98274&lt;/D&gt;&lt;D xsi:type="xsd:double"&gt;75828&lt;/D&gt;&lt;D xsi:type="xsd:double"&gt;56030&lt;/D&gt;&lt;D xsi:type="xsd:double"&gt;30981&lt;/D&gt;&lt;D xsi:type="xsd:double"&gt;28316&lt;/D&gt;&lt;D xsi:type="xsd:double"&gt;35552&lt;/D&gt;&lt;/FQL&gt;&lt;FQL&gt;&lt;Q&gt;GE-US^(FF_SHLDRS_EQ(ANN_R,-9,0,Y,RP,LOCAL,M)/FF_ASSETS(ANN_R,-9,0-1,Y,RP,LOCAL,M))*100&lt;/Q&gt;&lt;R&gt;10&lt;/R&gt;&lt;C&gt;1&lt;/C&gt;&lt;D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xsi:type="xsd:double"&gt;19.076847818491&lt;/D&gt;&lt;D xsi:type="xsd:double"&gt;19.4655871276784&lt;/D&gt;&lt;D xsi:type="xsd:double"&gt;14.6439632528782&lt;/D&gt;&lt;D xsi:type="xsd:double"&gt;9.69222394634098&lt;/D&gt;&lt;D xsi:type="xsd:double"&gt;10.6181283655072&lt;/D&gt;&lt;D xsi:type="xsd:string"&gt;@NA&lt;/D&gt;&lt;/FQL&gt;&lt;FQL&gt;&lt;Q&gt;GE-US^FF_MIN_INT_ACCUM(ANN_R,-9,0,Y,RP,USD,M)&lt;/Q&gt;&lt;R&gt;10&lt;/R&gt;&lt;C&gt;1&lt;/C&gt;&lt;D xsi:type="xsd:double"&gt;1696&lt;/D&gt;&lt;D xsi:type="xsd:double"&gt;5444&lt;/D&gt;&lt;D xsi:type="xsd:double"&gt;6217&lt;/D&gt;&lt;D xsi:type="xsd:double"&gt;8772&lt;/D&gt;&lt;D xsi:type="xsd:double"&gt;4836&lt;/D&gt;&lt;D xsi:type="xsd:double"&gt;4688&lt;/D&gt;&lt;D xsi:type="xsd:double"&gt;20859&lt;/D&gt;&lt;D xsi:type="xsd:double"&gt;20878&lt;/D&gt;&lt;D xsi:type="xsd:double"&gt;1984&lt;/D&gt;&lt;D xsi:type="xsd:double"&gt;2009&lt;/D&gt;&lt;/FQL&gt;&lt;FQL&gt;&lt;Q&gt;GE-US^FF_EQ_TOT(ANN_R,-9,0,Y,RP,USD,M)&lt;/Q&gt;&lt;R&gt;10&lt;/R&gt;&lt;C&gt;1&lt;/C&gt;&lt;D xsi:type="xsd:double"&gt;118134&lt;/D&gt;&lt;D xsi:type="xsd:double"&gt;128470&lt;/D&gt;&lt;D xsi:type="xsd:double"&gt;136783&lt;/D&gt;&lt;D xsi:type="xsd:double"&gt;136931&lt;/D&gt;&lt;D xsi:type="xsd:double"&gt;103110&lt;/D&gt;&lt;D xsi:type="xsd:double"&gt;80516&lt;/D&gt;&lt;D xsi:type="xsd:double"&gt;76889&lt;/D&gt;&lt;D xsi:type="xsd:double"&gt;51859&lt;/D&gt;&lt;D xsi:type="xsd:double"&gt;30300&lt;/D&gt;&lt;D xsi:type="xsd:double"&gt;37561&lt;/D&gt;&lt;/FQL&gt;&lt;FQL&gt;&lt;Q&gt;GE-US^FF_LIABS_SHLDRS_EQ(ANN_R,-9,0,Y,RP,USD,M)&lt;/Q&gt;&lt;R&gt;10&lt;/R&gt;&lt;C&gt;1&lt;/C&gt;&lt;D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xsi:type="xsd:double"&gt;255050&lt;/D&gt;&lt;/FQL&gt;&lt;FQL&gt;&lt;Q&gt;GE-US^FF_RECEIV_TURN_DAYS(ANN_R,-9,0,Y,RP)+FF_INVEN_DAYS(ANN_R,-9,0,Y,RP)-FF_PAY_TURN_DAYS(ANN_R,-9,0,Y,RP)&lt;/Q&gt;&lt;R&gt;10&lt;/R&gt;&lt;C&gt;1&lt;/C&gt;&lt;D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xsi:type="xsd:double"&gt;120.449762290529&lt;/D&gt;&lt;/FQL&gt;&lt;FQL&gt;&lt;Q&gt;GE-US^FF_BPS(ANN_R,-9,0,Y,RP,USD,M)&lt;/Q&gt;&lt;R&gt;10&lt;/R&gt;&lt;C&gt;1&lt;/C&gt;&lt;D xsi:type="xsd:double"&gt;11.01275&lt;/D&gt;&lt;D xsi:type="xsd:double"&gt;11.82303&lt;/D&gt;&lt;D xsi:type="xsd:double"&gt;12.97759&lt;/D&gt;&lt;D xsi:type="xsd:double"&gt;12.74278&lt;/D&gt;&lt;D xsi:type="xsd:double"&gt;10.47713&lt;/D&gt;&lt;D xsi:type="xsd:double"&gt;8.67269&lt;/D&gt;&lt;D xsi:type="xsd:double"&gt;6.45395&lt;/D&gt;&lt;D xsi:type="xsd:double"&gt;3.55943&lt;/D&gt;&lt;D xsi:type="xsd:double"&gt;3.23971&lt;/D&gt;&lt;D xsi:type="xsd:double"&gt;4.05522&lt;/D&gt;&lt;/FQL&gt;&lt;FQL&gt;&lt;Q&gt;GE-US^PCTCHG(FF_BPS(ANN_R,-9,0,Y,RP,LOCAL,M),FF_BPS(ANN_R,-9-1,0-1,Y,RP,LOCAL,M))&lt;/Q&gt;&lt;R&gt;10&lt;/R&gt;&lt;C&gt;1&lt;/C&gt;&lt;D xsi:type="xsd:double"&gt;-1.7081246&lt;/D&gt;&lt;D xsi:type="xsd:double"&gt;7.3576603&lt;/D&gt;&lt;D xsi:type="xsd:double"&gt;9.765341&lt;/D&gt;&lt;D xsi:type="xsd:double"&gt;-1.809349&lt;/D&gt;&lt;D xsi:type="xsd:double"&gt;-17.77987&lt;/D&gt;&lt;D xsi:type="xsd:double"&gt;-17.22265&lt;/D&gt;&lt;D xsi:type="xsd:double"&gt;-25.58307&lt;/D&gt;&lt;D xsi:type="xsd:double"&gt;-44.848812&lt;/D&gt;&lt;D xsi:type="xsd:double"&gt;-8.982331&lt;/D&gt;&lt;D xsi:type="xsd:double"&gt;25.172316&lt;/D&gt;&lt;/FQL&gt;&lt;FQL&gt;&lt;Q&gt;GE-US^FF_BPS_TANG(ANN_R,-9,0,Y,RP,USD,M)&lt;/Q&gt;&lt;R&gt;10&lt;/R&gt;&lt;C&gt;1&lt;/C&gt;&lt;D xsi:type="xsd:double"&gt;3.00245426636503&lt;/D&gt;&lt;D xsi:type="xsd:double"&gt;3.61266142110637&lt;/D&gt;&lt;D xsi:type="xsd:double"&gt;3.83743729798613&lt;/D&gt;&lt;D xsi:type="xsd:double"&gt;6.14175858921508&lt;/D&gt;&lt;D xsi:type="xsd:double"&gt;1.59340453134609&lt;/D&gt;&lt;D xsi:type="xsd:double"&gt;-1.26415280372667&lt;/D&gt;&lt;D xsi:type="xsd:double"&gt;-5.55458851727611&lt;/D&gt;&lt;D xsi:type="xsd:double"&gt;-1.74403632541417&lt;/D&gt;&lt;D xsi:type="xsd:double"&gt;-1.0387444706912&lt;/D&gt;&lt;D xsi:type="xsd:double"&gt;0.0282927611715622&lt;/D&gt;&lt;/FQL&gt;&lt;FQL&gt;&lt;Q&gt;GE-US^PCTCHG(FF_BPS_TANG(ANN_R,-9,0,Y,RP,LOCAL,M),FF_BPS_TANG(ANN_R,-9-1,0-1,Y,RP,LOCAL,M))&lt;/Q&gt;&lt;R&gt;10&lt;/R&gt;&lt;C&gt;1&lt;/C&gt;&lt;D xsi:type="xsd:double"&gt;-28.361027&lt;/D&gt;&lt;D xsi:type="xsd:double"&gt;20.323608&lt;/D&gt;&lt;D xsi:type="xsd:double"&gt;6.221896&lt;/D&gt;&lt;D xsi:type="xsd:double"&gt;60.04843&lt;/D&gt;&lt;D xsi:type="xsd:double"&gt;-74.05622&lt;/D&gt;&lt;D xsi:type="xsd:double"&gt;-179.3366&lt;/D&gt;&lt;D xsi:type="xsd:double"&gt;-339.39218&lt;/D&gt;&lt;D xsi:type="xsd:double"&gt;68.60188&lt;/D&gt;&lt;D xsi:type="xsd:double"&gt;40.44021&lt;/D&gt;&lt;D xsi:type="xsd:string"&gt;@NA&lt;/D&gt;&lt;/FQL&gt;&lt;FQL&gt;&lt;Q&gt;GE-US^CE_NAME();&lt;/Q&gt;&lt;R&gt;1&lt;/R&gt;&lt;C&gt;1&lt;/C&gt;&lt;D xsi:type="xsd:string"&gt;General Electric Company&lt;/D&gt;&lt;/FQL&gt;&lt;FQL&gt;&lt;Q&gt;GE-US^CE_TICKER_HEADER();&lt;/Q&gt;&lt;R&gt;1&lt;/R&gt;&lt;C&gt;1&lt;/C&gt;&lt;D xsi:type="xsd:string"&gt;GE   369604103   2380498   NYSE    Common stock    &lt;/D&gt;&lt;/FQL&gt;&lt;FQL&gt;&lt;Q&gt;GE-US^FF_SALES(ANN_R,-9,0,Y,RP,USD,M)&lt;/Q&gt;&lt;R&gt;10&lt;/R&gt;&lt;C&gt;1&lt;/C&gt;&lt;D xsi:type="xsd:double"&gt;142621&lt;/D&gt;&lt;D xsi:type="xsd:double"&gt;144904&lt;/D&gt;&lt;D xsi:type="xsd:double"&gt;142707&lt;/D&gt;&lt;D xsi:type="xsd:double"&gt;117013&lt;/D&gt;&lt;D xsi:type="xsd:double"&gt;115916&lt;/D&gt;&lt;D xsi:type="xsd:double"&gt;119869&lt;/D&gt;&lt;D xsi:type="xsd:double"&gt;118243&lt;/D&gt;&lt;D xsi:type="xsd:double"&gt;98440&lt;/D&gt;&lt;D xsi:type="xsd:double"&gt;95055&lt;/D&gt;&lt;D xsi:type="xsd:double"&gt;79893&lt;/D&gt;&lt;/FQL&gt;&lt;FQL&gt;&lt;Q&gt;GE-US^FE_ESTIMATE(SALES,MED,ANNUAL_ROLL,+1,NOW,,,'')&lt;/Q&gt;&lt;R&gt;1&lt;/R&gt;&lt;C&gt;1&lt;/C&gt;&lt;D xsi:type="xsd:double"&gt;76852.53&lt;/D&gt;&lt;/FQL&gt;&lt;FQL&gt;&lt;Q&gt;GE-US^FE_ESTIMATE(SALES,MED,ANNUAL_ROLL,+2,NOW,,,'')&lt;/Q&gt;&lt;R&gt;1&lt;/R&gt;&lt;C&gt;1&lt;/C&gt;&lt;D xsi:type="xsd:double"&gt;82193&lt;/D&gt;&lt;/FQL&gt;&lt;FQL&gt;&lt;Q&gt;GE-US^FF_COGS(ANN_R,-9,0,Y,RP,USD,M)&lt;/Q&gt;&lt;R&gt;10&lt;/R&gt;&lt;C&gt;1&lt;/C&gt;&lt;D xsi:type="xsd:double"&gt;63677&lt;/D&gt;&lt;D xsi:type="xsd:double"&gt;69790&lt;/D&gt;&lt;D xsi:type="xsd:double"&gt;72391&lt;/D&gt;&lt;D xsi:type="xsd:double"&gt;79026&lt;/D&gt;&lt;D xsi:type="xsd:double"&gt;77542&lt;/D&gt;&lt;D xsi:type="xsd:double"&gt;80224&lt;/D&gt;&lt;D xsi:type="xsd:double"&gt;83745&lt;/D&gt;&lt;D xsi:type="xsd:double"&gt;68834&lt;/D&gt;&lt;D xsi:type="xsd:double"&gt;66584&lt;/D&gt;&lt;D xsi:type="xsd:double"&gt;59891&lt;/D&gt;&lt;/FQL&gt;&lt;FQL&gt;&lt;Q&gt;GE-US^FF_COGS_XDEP(ANN_R,-9,0,Y,RP,USD,M)&lt;/Q&gt;&lt;R&gt;10&lt;/R&gt;&lt;C&gt;1&lt;/C&gt;&lt;D xsi:type="xsd:double"&gt;52760&lt;/D&gt;&lt;D xsi:type="xsd:double"&gt;58829&lt;/D&gt;&lt;D xsi:type="xsd:double"&gt;60918&lt;/D&gt;&lt;D xsi:type="xsd:double"&gt;72605&lt;/D&gt;&lt;D xsi:type="xsd:double"&gt;71042&lt;/D&gt;&lt;D xsi:type="xsd:double"&gt;73392&lt;/D&gt;&lt;D xsi:type="xsd:double"&gt;76316&lt;/D&gt;&lt;D xsi:type="xsd:double"&gt;62252&lt;/D&gt;&lt;D xsi:type="xsd:double"&gt;60989&lt;/D&gt;&lt;D xsi:type="xsd:double"&gt;53873&lt;/D&gt;&lt;/FQL&gt;&lt;FQL&gt;&lt;Q&gt;GE-US^FF_DEP_AMORT_EXP(ANN_R,-9,0,Y,RP,USD,M)&lt;/Q&gt;&lt;R&gt;10&lt;/R&gt;&lt;C&gt;1&lt;/C&gt;&lt;D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xsi:type="xsd:double"&gt;6018&lt;/D&gt;&lt;/FQL&gt;&lt;FQL&gt;&lt;Q&gt;GE-US^FF_DEP_EXP(ANN_R,-9,0,Y,RP,USD,M)&lt;/Q&gt;&lt;R&gt;10&lt;/R&gt;&lt;C&gt;1&lt;/C&gt;&lt;D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xsi:type="xsd:double"&gt;4636&lt;/D&gt;&lt;/FQL&gt;&lt;FQL&gt;&lt;Q&gt;GE-US^FF_AMORT_INTANG(ANN_R,-9,0,Y,RP,USD,M)&lt;/Q&gt;&lt;R&gt;10&lt;/R&gt;&lt;C&gt;1&lt;/C&gt;&lt;D xsi:type="xsd:double"&gt;1732&lt;/D&gt;&lt;D xsi:type="xsd:double"&gt;1615&lt;/D&gt;&lt;D xsi:type="xsd:double"&gt;1711&lt;/D&gt;&lt;D xsi:type="xsd:double"&gt;1468&lt;/D&gt;&lt;D xsi:type="xsd:double"&gt;1653&lt;/D&gt;&lt;D xsi:type="xsd:double"&gt;1835&lt;/D&gt;&lt;D xsi:type="xsd:double"&gt;2290&lt;/D&gt;&lt;D xsi:type="xsd:double"&gt;2163&lt;/D&gt;&lt;D xsi:type="xsd:double"&gt;1569&lt;/D&gt;&lt;D xsi:type="xsd:double"&gt;1382&lt;/D&gt;&lt;/FQL&gt;&lt;FQL&gt;&lt;Q&gt;GE-US^FF_AMORT_DFD_CHRG(ANN_R,-9,0,Y,RP,USD,M)&lt;/Q&gt;&lt;R&gt;10&lt;/R&gt;&lt;C&gt;1&lt;/C&gt;&lt;D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xsi:type="xsd:double"&gt;0&lt;/D&gt;&lt;/FQL&gt;&lt;FQL&gt;&lt;Q&gt;GE-US^FF_GROSS_INC(ANN_R,-9,0,Y,RP,USD,M)&lt;/Q&gt;&lt;R&gt;10&lt;/R&gt;&lt;C&gt;1&lt;/C&gt;&lt;D xsi:type="xsd:double"&gt;78944&lt;/D&gt;&lt;D xsi:type="xsd:double"&gt;75114&lt;/D&gt;&lt;D xsi:type="xsd:double"&gt;70316&lt;/D&gt;&lt;D xsi:type="xsd:double"&gt;37987&lt;/D&gt;&lt;D xsi:type="xsd:double"&gt;38374&lt;/D&gt;&lt;D xsi:type="xsd:double"&gt;39645&lt;/D&gt;&lt;D xsi:type="xsd:double"&gt;34498&lt;/D&gt;&lt;D xsi:type="xsd:double"&gt;29606&lt;/D&gt;&lt;D xsi:type="xsd:double"&gt;28471&lt;/D&gt;&lt;D xsi:type="xsd:double"&gt;20002&lt;/D&gt;&lt;/FQL&gt;&lt;FQL&gt;&lt;Q&gt;GE-US^FF_GROSS_MGN(ANN_R,-9,0,Y,RP,LOCAL,M)&lt;/Q&gt;&lt;R&gt;10&lt;/R&gt;&lt;C&gt;1&lt;/C&gt;&lt;D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xsi:type="xsd:double"&gt;25.0359856307812&lt;/D&gt;&lt;/FQL&gt;&lt;FQL&gt;&lt;Q&gt;GE-US^FF_SGA(ANN_R,-9,0,Y,RP,USD,M)&lt;/Q&gt;&lt;R&gt;10&lt;/R&gt;&lt;C&gt;1&lt;/C&gt;&lt;D xsi:type="xsd:double"&gt;44791&lt;/D&gt;&lt;D xsi:type="xsd:double"&gt;44338&lt;/D&gt;&lt;D xsi:type="xsd:double"&gt;43871&lt;/D&gt;&lt;D xsi:type="xsd:double"&gt;21081&lt;/D&gt;&lt;D xsi:type="xsd:double"&gt;21080&lt;/D&gt;&lt;D xsi:type="xsd:double"&gt;21959&lt;/D&gt;&lt;D xsi:type="xsd:double"&gt;20707&lt;/D&gt;&lt;D xsi:type="xsd:double"&gt;15929&lt;/D&gt;&lt;D xsi:type="xsd:double"&gt;15980&lt;/D&gt;&lt;D xsi:type="xsd:double"&gt;14160&lt;/D&gt;&lt;/FQL&gt;&lt;FQL&gt;&lt;Q&gt;GE-US^IF(ISAV(FF_SGA(ANN_R,-9,0,Y,RP,USD,M)),FF_RD_EXP(ANN_R,-9,0,Y,RP,USD,M),FLOAT_NA)&lt;/Q&gt;&lt;R&gt;10&lt;/R&gt;&lt;C&gt;1&lt;/C&gt;&lt;D xsi:type="xsd:double"&gt;4601&lt;/D&gt;&lt;D xsi:type="xsd:double"&gt;4520&lt;/D&gt;&lt;D xsi:type="xsd:double"&gt;4750&lt;/D&gt;&lt;D xsi:type="xsd:double"&gt;4233&lt;/D&gt;&lt;D xsi:type="xsd:double"&gt;4249&lt;/D&gt;&lt;D xsi:type="xsd:double"&gt;4782&lt;/D&gt;&lt;D xsi:type="xsd:double"&gt;4738&lt;/D&gt;&lt;D xsi:type="xsd:double"&gt;3414&lt;/D&gt;&lt;D xsi:type="xsd:double"&gt;3118&lt;/D&gt;&lt;D xsi:type="xsd:double"&gt;2565&lt;/D&gt;&lt;/FQL&gt;&lt;FQL&gt;&lt;Q&gt;GE-US^FF_SGA_OTH(ANN_R,-9,0,Y,RP,USD,M)&lt;/Q&gt;&lt;R&gt;10&lt;/R&gt;&lt;C&gt;1&lt;/C&gt;&lt;D xsi:type="xsd:double"&gt;40190&lt;/D&gt;&lt;D xsi:type="xsd:double"&gt;39818&lt;/D&gt;&lt;D xsi:type="xsd:double"&gt;39121&lt;/D&gt;&lt;D xsi:type="xsd:double"&gt;16848&lt;/D&gt;&lt;D xsi:type="xsd:double"&gt;16831&lt;/D&gt;&lt;D xsi:type="xsd:double"&gt;17177&lt;/D&gt;&lt;D xsi:type="xsd:double"&gt;15969&lt;/D&gt;&lt;D xsi:type="xsd:double"&gt;12515&lt;/D&gt;&lt;D xsi:type="xsd:double"&gt;12862&lt;/D&gt;&lt;D xsi:type="xsd:double"&gt;11595&lt;/D&gt;&lt;/FQL&gt;&lt;FQL&gt;&lt;Q&gt;GE-US^FF_OPER_EXP_OTH(ANN_R,-9,0,Y,RP,USD,M)&lt;/Q&gt;&lt;R&gt;10&lt;/R&gt;&lt;C&gt;1&lt;/C&gt;&lt;D xsi:type="xsd:double"&gt;2912&lt;/D&gt;&lt;D xsi:type="xsd:double"&gt;2857&lt;/D&gt;&lt;D xsi:type="xsd:double"&gt;2676&lt;/D&gt;&lt;D xsi:type="xsd:double"&gt;3646&lt;/D&gt;&lt;D xsi:type="xsd:double"&gt;5149&lt;/D&gt;&lt;D xsi:type="xsd:double"&gt;3747&lt;/D&gt;&lt;D xsi:type="xsd:double"&gt;13250&lt;/D&gt;&lt;D xsi:type="xsd:double"&gt;3204&lt;/D&gt;&lt;D xsi:type="xsd:double"&gt;3752&lt;/D&gt;&lt;D xsi:type="xsd:double"&gt;2781&lt;/D&gt;&lt;/FQL&gt;&lt;FQL&gt;&lt;Q&gt;GE-US^FF_EBIT_OPER(ANN_R,-9,0,Y,RP,USD,M)&lt;/Q&gt;&lt;R&gt;10&lt;/R&gt;&lt;C&gt;1&lt;/C&gt;&lt;D xsi:type="xsd:double"&gt;31241&lt;/D&gt;&lt;D xsi:type="xsd:double"&gt;27919&lt;/D&gt;&lt;D xsi:type="xsd:double"&gt;23769&lt;/D&gt;&lt;D xsi:type="xsd:double"&gt;13260&lt;/D&gt;&lt;D xsi:type="xsd:double"&gt;12145&lt;/D&gt;&lt;D xsi:type="xsd:double"&gt;13939&lt;/D&gt;&lt;D xsi:type="xsd:double"&gt;541&lt;/D&gt;&lt;D xsi:type="xsd:double"&gt;10473&lt;/D&gt;&lt;D xsi:type="xsd:double"&gt;8739&lt;/D&gt;&lt;D xsi:type="xsd:double"&gt;3061&lt;/D&gt;&lt;/FQL&gt;&lt;FQL&gt;&lt;Q&gt;GE-US^FF_EBIT_OPER_MGN(ANN_R,-9,0,Y,RP,LOCAL,M)&lt;/Q&gt;&lt;R&gt;10&lt;/R&gt;&lt;C&gt;1&lt;/C&gt;&lt;D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xsi:type="xsd:double"&gt;3.83137446334472&lt;/D&gt;&lt;/FQL&gt;&lt;FQL&gt;&lt;Q&gt;GE-US^FF_NON_OPER_INC(ANN_R,-9,0,Y,RP,USD,M)&lt;/Q&gt;&lt;R&gt;10&lt;/R&gt;&lt;C&gt;1&lt;/C&gt;&lt;D xsi:type="xsd:double"&gt;5037&lt;/D&gt;&lt;D xsi:type="xsd:double"&gt;2590&lt;/D&gt;&lt;D xsi:type="xsd:double"&gt;3677&lt;/D&gt;&lt;D xsi:type="xsd:double"&gt;-122&lt;/D&gt;&lt;D xsi:type="xsd:double"&gt;1297&lt;/D&gt;&lt;D xsi:type="xsd:double"&gt;3680&lt;/D&gt;&lt;D xsi:type="xsd:double"&gt;-273&lt;/D&gt;&lt;D xsi:type="xsd:double"&gt;-376&lt;/D&gt;&lt;D xsi:type="xsd:double"&gt;-600&lt;/D&gt;&lt;D xsi:type="xsd:double"&gt;8962&lt;/D&gt;&lt;/FQL&gt;&lt;FQL&gt;&lt;Q&gt;GE-US^FF_INT_INC_NON_OPER(ANN_R,-9,0,Y,RP,USD,M)&lt;/Q&gt;&lt;R&gt;10&lt;/R&gt;&lt;C&gt;1&lt;/C&gt;&lt;D xsi:type="xsd:double"&gt;258&lt;/D&gt;&lt;D xsi:type="xsd:double"&gt;152&lt;/D&gt;&lt;D xsi:type="xsd:double"&gt;75&lt;/D&gt;&lt;D xsi:type="xsd:double"&gt;0&lt;/D&gt;&lt;D xsi:type="xsd:double"&gt;65&lt;/D&gt;&lt;D xsi:type="xsd:double"&gt;167&lt;/D&gt;&lt;D xsi:type="xsd:double"&gt;425&lt;/D&gt;&lt;D xsi:type="xsd:double"&gt;562&lt;/D&gt;&lt;D xsi:type="xsd:double"&gt;1220&lt;/D&gt;&lt;D xsi:type="xsd:double"&gt;0&lt;/D&gt;&lt;/FQL&gt;&lt;FQL&gt;&lt;Q&gt;GE-US^FF_EQ_AFF_INC_PTX(ANN_R,-9,0,Y,RP,USD,M)&lt;/Q&gt;&lt;R&gt;10&lt;/R&gt;&lt;C&gt;1&lt;/C&gt;&lt;D xsi:type="xsd:double"&gt;894&lt;/D&gt;&lt;D xsi:type="xsd:double"&gt;1545&lt;/D&gt;&lt;D xsi:type="xsd:double"&gt;40&lt;/D&gt;&lt;D xsi:type="xsd:double"&gt;176&lt;/D&gt;&lt;D xsi:type="xsd:double"&gt;45&lt;/D&gt;&lt;D xsi:type="xsd:double"&gt;76&lt;/D&gt;&lt;D xsi:type="xsd:double"&gt;202&lt;/D&gt;&lt;D xsi:type="xsd:double"&gt;21&lt;/D&gt;&lt;D xsi:type="xsd:double"&gt;206&lt;/D&gt;&lt;D xsi:type="xsd:double"&gt;27&lt;/D&gt;&lt;/FQL&gt;&lt;FQL&gt;&lt;Q&gt;GE-US^FF_MISC_EXP_NON_OPER(ANN_R,-9,0,Y,RP,USD,M)&lt;/Q&gt;&lt;R&gt;10&lt;/R&gt;&lt;C&gt;1&lt;/C&gt;&lt;D xsi:type="xsd:double"&gt;3885&lt;/D&gt;&lt;D xsi:type="xsd:double"&gt;893&lt;/D&gt;&lt;D xsi:type="xsd:double"&gt;3562&lt;/D&gt;&lt;D xsi:type="xsd:double"&gt;-298&lt;/D&gt;&lt;D xsi:type="xsd:double"&gt;1187&lt;/D&gt;&lt;D xsi:type="xsd:double"&gt;3437&lt;/D&gt;&lt;D xsi:type="xsd:double"&gt;-900&lt;/D&gt;&lt;D xsi:type="xsd:double"&gt;-959&lt;/D&gt;&lt;D xsi:type="xsd:double"&gt;-2026&lt;/D&gt;&lt;D xsi:type="xsd:double"&gt;8935&lt;/D&gt;&lt;/FQL&gt;&lt;FQL&gt;&lt;Q&gt;GE-US^FF_INT_EXP_NET(ANN_R,-9,0,Y,RP,USD,M)&lt;/Q&gt;&lt;R&gt;10&lt;/R&gt;&lt;C&gt;1&lt;/C&gt;&lt;D xsi:type="xsd:double"&gt;12741&lt;/D&gt;&lt;D xsi:type="xsd:double"&gt;11331&lt;/D&gt;&lt;D xsi:type="xsd:double"&gt;8104&lt;/D&gt;&lt;D xsi:type="xsd:double"&gt;2430&lt;/D&gt;&lt;D xsi:type="xsd:double"&gt;3090&lt;/D&gt;&lt;D xsi:type="xsd:double"&gt;4281&lt;/D&gt;&lt;D xsi:type="xsd:double"&gt;4869&lt;/D&gt;&lt;D xsi:type="xsd:double"&gt;4560&lt;/D&gt;&lt;D xsi:type="xsd:double"&gt;4324&lt;/D&gt;&lt;D xsi:type="xsd:double"&gt;3231&lt;/D&gt;&lt;/FQL&gt;&lt;FQL&gt;&lt;Q&gt;GE-US^FF_INT_EXP_DEBT(ANN_R,-9,0,Y,RP,USD,M)&lt;/Q&gt;&lt;R&gt;10&lt;/R&gt;&lt;C&gt;1&lt;/C&gt;&lt;D xsi:type="xsd:double"&gt;12766&lt;/D&gt;&lt;D xsi:type="xsd:double"&gt;11359&lt;/D&gt;&lt;D xsi:type="xsd:double"&gt;8133&lt;/D&gt;&lt;D xsi:type="xsd:double"&gt;2455&lt;/D&gt;&lt;D xsi:type="xsd:double"&gt;3116&lt;/D&gt;&lt;D xsi:type="xsd:double"&gt;4316&lt;/D&gt;&lt;D xsi:type="xsd:double"&gt;4869&lt;/D&gt;&lt;D xsi:type="xsd:double"&gt;4560&lt;/D&gt;&lt;D xsi:type="xsd:double"&gt;4324&lt;/D&gt;&lt;D xsi:type="xsd:double"&gt;3231&lt;/D&gt;&lt;/FQL&gt;&lt;FQL&gt;&lt;Q&gt;GE-US^FF_INT_CAP(ANN_R,-9,0,Y,RP,USD,M)&lt;/Q&gt;&lt;R&gt;10&lt;/R&gt;&lt;C&gt;1&lt;/C&gt;&lt;D xsi:type="xsd:double"&gt;25&lt;/D&gt;&lt;D xsi:type="xsd:double"&gt;28&lt;/D&gt;&lt;D xsi:type="xsd:double"&gt;29&lt;/D&gt;&lt;D xsi:type="xsd:double"&gt;25&lt;/D&gt;&lt;D xsi:type="xsd:double"&gt;26&lt;/D&gt;&lt;D xsi:type="xsd:double"&gt;35&lt;/D&gt;&lt;D xsi:type="xsd:string"&gt;@NA&lt;/D&gt;&lt;D xsi:type="xsd:double"&gt;0&lt;/D&gt;&lt;D xsi:type="xsd:double"&gt;0&lt;/D&gt;&lt;D xsi:type="xsd:double"&gt;0&lt;/D&gt;&lt;/FQL&gt;&lt;FQL&gt;&lt;Q&gt;GE-US^PCTCHG(FF_INT_EXP_NET(ANN_R,-9,0,Y,RP,LOCAL,M),FF_INT_EXP_NET(ANN_R,-1,0-1,Y,RP,LOCAL,M))&lt;/Q&gt;&lt;R&gt;10&lt;/R&gt;&lt;C&gt;1&lt;/C&gt;&lt;D xsi:type="xsd:double"&gt;194.65773&lt;/D&gt;&lt;D xsi:type="xsd:double"&gt;162.04903&lt;/D&gt;&lt;D xsi:type="xsd:double"&gt;87.41906&lt;/D&gt;&lt;D xsi:type="xsd:double"&gt;-43.802036&lt;/D&gt;&lt;D xsi:type="xsd:double"&gt;-28.538391&lt;/D&gt;&lt;D xsi:type="xsd:double"&gt;-0.99444956&lt;/D&gt;&lt;D xsi:type="xsd:double"&gt;12.604071&lt;/D&gt;&lt;D xsi:type="xsd:double"&gt;5.457909&lt;/D&gt;&lt;D xsi:type="xsd:double"&gt;0&lt;/D&gt;&lt;D xsi:type="xsd:double"&gt;-25.277521&lt;/D&gt;&lt;/FQL&gt;&lt;FQL&gt;&lt;Q&gt;GE-US^FF_UNUSUAL_EXP(ANN_R,-9,0,Y,RP,USD,M)&lt;/Q&gt;&lt;R&gt;10&lt;/R&gt;&lt;C&gt;1&lt;/C&gt;&lt;D xsi:type="xsd:double"&gt;3439&lt;/D&gt;&lt;D xsi:type="xsd:double"&gt;1772&lt;/D&gt;&lt;D xsi:type="xsd:double"&gt;3191&lt;/D&gt;&lt;D xsi:type="xsd:double"&gt;445&lt;/D&gt;&lt;D xsi:type="xsd:double"&gt;2166&lt;/D&gt;&lt;D xsi:type="xsd:double"&gt;4308&lt;/D&gt;&lt;D xsi:type="xsd:double"&gt;6550&lt;/D&gt;&lt;D xsi:type="xsd:double"&gt;26524&lt;/D&gt;&lt;D xsi:type="xsd:double"&gt;2666&lt;/D&gt;&lt;D xsi:type="xsd:double"&gt;3595&lt;/D&gt;&lt;/FQL&gt;&lt;FQL&gt;&lt;Q&gt;GE-US^FF_IMPAIR_PPE(ANN_R,-9,0,Y,RP,USD,M)&lt;/Q&gt;&lt;R&gt;0&lt;/R&gt;&lt;C&gt;0&lt;/C&gt;&lt;/FQL&gt;&lt;FQL&gt;&lt;Q&gt;GE-US^FF_FIN_ASSETS_IMPAIR(ANN_R,-9,0,Y,RP,USD,M)&lt;/Q&gt;&lt;R&gt;0&lt;/R&gt;&lt;C&gt;0&lt;/C&gt;&lt;/FQL&gt;&lt;FQL&gt;&lt;Q&gt;GE-US^FF_XCEPT_PROV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xsi:type="xsd:double"&gt;0&lt;/D&gt;&lt;D xsi:type="xsd:string"&gt;@NA&lt;/D&gt;&lt;D xsi:type="xsd:string"&gt;@NA&lt;/D&gt;&lt;D xsi:type="xsd:string"&gt;@NA&lt;/D&gt;&lt;/FQL&gt;&lt;FQL&gt;&lt;Q&gt;GE-US^FF_REORG_RESTRUCT_EXP(ANN_R,-9,0,Y,RP,USD,M)&lt;/Q&gt;&lt;R&gt;0&lt;/R&gt;&lt;C&gt;0&lt;/C&gt;&lt;/FQL&gt;&lt;FQL&gt;&lt;Q&gt;GE-US^FF_GW_WDOWN(ANN_R,-9,0,Y,RP,USD,M)&lt;/Q&gt;&lt;R&gt;0&lt;/R&gt;&lt;C&gt;0&lt;/C&gt;&lt;/FQL&gt;&lt;FQL&gt;&lt;Q&gt;GE-US^FF_LEGAL_CLAIM_EXP(ANN_R,-9,0,Y,RP,USD,M)&lt;/Q&gt;&lt;R&gt;10&lt;/R&gt;&lt;C&gt;1&lt;/C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MPAIR_INTANG_OTH(ANN_R,-9,0,Y,RP,USD,M)&lt;/Q&gt;&lt;R&gt;0&lt;/R&gt;&lt;C&gt;0&lt;/C&gt;&lt;/FQL&gt;&lt;FQL&gt;&lt;Q&gt;GE-US^FF_UNREAL_INVEST_GL(ANN_R,-9,0,Y,RP,USD,M)&lt;/Q&gt;&lt;R&gt;0&lt;/R&gt;&lt;C&gt;0&lt;/C&gt;&lt;/FQL&gt;&lt;FQL&gt;&lt;Q&gt;GE-US^FF_OTH_UNUSUAL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xsi:type="xsd:string"&gt;@NA&lt;/D&gt;&lt;/FQL&gt;&lt;FQL&gt;&lt;Q&gt;GE-US^FF_PTX_INC(ANN_R,-9,0,Y,RP,USD,M)&lt;/Q&gt;&lt;R&gt;10&lt;/R&gt;&lt;C&gt;1&lt;/C&gt;&lt;D xsi:type="xsd:double"&gt;20098&lt;/D&gt;&lt;D xsi:type="xsd:double"&gt;17406&lt;/D&gt;&lt;D xsi:type="xsd:double"&gt;16151&lt;/D&gt;&lt;D xsi:type="xsd:double"&gt;10263&lt;/D&gt;&lt;D xsi:type="xsd:double"&gt;8186&lt;/D&gt;&lt;D xsi:type="xsd:double"&gt;9030&lt;/D&gt;&lt;D xsi:type="xsd:double"&gt;-11151&lt;/D&gt;&lt;D xsi:type="xsd:double"&gt;-20987&lt;/D&gt;&lt;D xsi:type="xsd:double"&gt;1149&lt;/D&gt;&lt;D xsi:type="xsd:double"&gt;5197&lt;/D&gt;&lt;/FQL&gt;&lt;FQL&gt;&lt;Q&gt;GE-US^FF_PTX_MGN(ANN_R,-9,0,Y,RP,LOCAL,M)&lt;/Q&gt;&lt;R&gt;10&lt;/R&gt;&lt;C&gt;1&lt;/C&gt;&lt;D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xsi:type="xsd:double"&gt;6.50495037112137&lt;/D&gt;&lt;/FQL&gt;&lt;FQL&gt;&lt;Q&gt;GE-US^FF_INC_TAX(ANN_R,-9,0,Y,RP,USD,M)&lt;/Q&gt;&lt;R&gt;10&lt;/R&gt;&lt;C&gt;1&lt;/C&gt;&lt;D xsi:type="xsd:double"&gt;5732&lt;/D&gt;&lt;D xsi:type="xsd:double"&gt;2504&lt;/D&gt;&lt;D xsi:type="xsd:double"&gt;676&lt;/D&gt;&lt;D xsi:type="xsd:double"&gt;773&lt;/D&gt;&lt;D xsi:type="xsd:double"&gt;6485&lt;/D&gt;&lt;D xsi:type="xsd:double"&gt;-464&lt;/D&gt;&lt;D xsi:type="xsd:double"&gt;-2611&lt;/D&gt;&lt;D xsi:type="xsd:double"&gt;93&lt;/D&gt;&lt;D xsi:type="xsd:double"&gt;726&lt;/D&gt;&lt;D xsi:type="xsd:double"&gt;-475&lt;/D&gt;&lt;/FQL&gt;&lt;FQL&gt;&lt;Q&gt;GE-US^FF_INC_TAX_CURR_DOM(ANN_R,-9,0,Y,RP,USD,M)&lt;/Q&gt;&lt;R&gt;10&lt;/R&gt;&lt;C&gt;1&lt;/C&gt;&lt;D xsi:type="xsd:double"&gt;5935&lt;/D&gt;&lt;D xsi:type="xsd:double"&gt;3675&lt;/D&gt;&lt;D xsi:type="xsd:double"&gt;3971&lt;/D&gt;&lt;D xsi:type="xsd:double"&gt;-541&lt;/D&gt;&lt;D xsi:type="xsd:double"&gt;1247&lt;/D&gt;&lt;D xsi:type="xsd:double"&gt;-2679&lt;/D&gt;&lt;D xsi:type="xsd:double"&gt;-635&lt;/D&gt;&lt;D xsi:type="xsd:double"&gt;908&lt;/D&gt;&lt;D xsi:type="xsd:double"&gt;-122&lt;/D&gt;&lt;D xsi:type="xsd:double"&gt;1019&lt;/D&gt;&lt;/FQL&gt;&lt;FQL&gt;&lt;Q&gt;GE-US^FF_INC_TAX_CURR_FOR(ANN_R,-9,0,Y,RP,USD,M)&lt;/Q&gt;&lt;R&gt;10&lt;/R&gt;&lt;C&gt;1&lt;/C&gt;&lt;D xsi:type="xsd:double"&gt;0&lt;/D&gt;&lt;D xsi:type="xsd:double"&gt;0&lt;/D&gt;&lt;D xsi:type="xsd:double"&gt;0&lt;/D&gt;&lt;D xsi:type="xsd:double"&gt;2035&lt;/D&gt;&lt;D xsi:type="xsd:double"&gt;4867&lt;/D&gt;&lt;D xsi:type="xsd:double"&gt;1730&lt;/D&gt;&lt;D xsi:type="xsd:double"&gt;2286&lt;/D&gt;&lt;D xsi:type="xsd:double"&gt;1132&lt;/D&gt;&lt;D xsi:type="xsd:double"&gt;2008&lt;/D&gt;&lt;D xsi:type="xsd:double"&gt;1331&lt;/D&gt;&lt;/FQL&gt;&lt;FQL&gt;&lt;Q&gt;GE-US^FF_INC_TAX_DFD_DOM(ANN_R,-9,0,Y,RP,USD,M)&lt;/Q&gt;&lt;R&gt;10&lt;/R&gt;&lt;C&gt;1&lt;/C&gt;&lt;D xsi:type="xsd:double"&gt;-203&lt;/D&gt;&lt;D xsi:type="xsd:double"&gt;-1171&lt;/D&gt;&lt;D xsi:type="xsd:double"&gt;-3295&lt;/D&gt;&lt;D xsi:type="xsd:double"&gt;261&lt;/D&gt;&lt;D xsi:type="xsd:double"&gt;492&lt;/D&gt;&lt;D xsi:type="xsd:double"&gt;-754&lt;/D&gt;&lt;D xsi:type="xsd:double"&gt;-3740&lt;/D&gt;&lt;D xsi:type="xsd:double"&gt;-3144&lt;/D&gt;&lt;D xsi:type="xsd:double"&gt;-1266&lt;/D&gt;&lt;D xsi:type="xsd:double"&gt;-2032&lt;/D&gt;&lt;/FQL&gt;&lt;FQL&gt;&lt;Q&gt;GE-US^FF_INC_TAX_DFD_FOR(ANN_R,-9,0,Y,RP,USD,M)&lt;/Q&gt;&lt;R&gt;10&lt;/R&gt;&lt;C&gt;1&lt;/C&gt;&lt;D xsi:type="xsd:double"&gt;0&lt;/D&gt;&lt;D xsi:type="xsd:double"&gt;0&lt;/D&gt;&lt;D xsi:type="xsd:double"&gt;0&lt;/D&gt;&lt;D xsi:type="xsd:double"&gt;-982&lt;/D&gt;&lt;D xsi:type="xsd:double"&gt;-121&lt;/D&gt;&lt;D xsi:type="xsd:double"&gt;1239&lt;/D&gt;&lt;D xsi:type="xsd:double"&gt;-522&lt;/D&gt;&lt;D xsi:type="xsd:double"&gt;1197&lt;/D&gt;&lt;D xsi:type="xsd:double"&gt;106&lt;/D&gt;&lt;D xsi:type="xsd:double"&gt;-793&lt;/D&gt;&lt;/FQL&gt;&lt;FQL&gt;&lt;Q&gt;GE-US^FF_ITC(ANN_R,-9,0,Y,RP,USD,M)&lt;/Q&gt;&lt;R&gt;10&lt;/R&gt;&lt;C&gt;1&lt;/C&gt;&lt;D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xsi:type="xsd:double"&gt;0&lt;/D&gt;&lt;/FQL&gt;&lt;FQL&gt;&lt;Q&gt;GE-US^FF_TAX_RATE(ANN_R,-9,0,Y,RP)&lt;/Q&gt;&lt;R&gt;10&lt;/R&gt;&lt;C&gt;1&lt;/C&gt;&lt;D xsi:type="xsd:double"&gt;28.520250771221&lt;/D&gt;&lt;D xsi:type="xsd:double"&gt;14.3858439618522&lt;/D&gt;&lt;D xsi:type="xsd:double"&gt;4.18549934988546&lt;/D&gt;&lt;D xsi:type="xsd:double"&gt;7.53191074734483&lt;/D&gt;&lt;D xsi:type="xsd:double"&gt;79.2206205717078&lt;/D&gt;&lt;D xsi:type="xsd:double"&gt;-5.13842746400886&lt;/D&gt;&lt;D xsi:type="xsd:string"&gt;@NA&lt;/D&gt;&lt;D xsi:type="xsd:string"&gt;@NA&lt;/D&gt;&lt;D xsi:type="xsd:double"&gt;63.1853785900783&lt;/D&gt;&lt;D xsi:type="xsd:double"&gt;-9.1398883971522&lt;/D&gt;&lt;/FQL&gt;&lt;FQL&gt;&lt;Q&gt;GE-US^FF_EQ_AFF_INC(ANN_R,-9,0,Y,RP,USD,M)&lt;/Q&gt;&lt;R&gt;10&lt;/R&gt;&lt;C&gt;1&lt;/C&gt;&lt;D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xsi:type="xsd:string"&gt;@NA&lt;/D&gt;&lt;/FQL&gt;&lt;FQL&gt;&lt;Q&gt;GE-US^FF_ADJ_NET_OTH(ANN_R,-9,0,Y,RP,USD,M)&lt;/Q&gt;&lt;R&gt;10&lt;/R&gt;&lt;C&gt;1&lt;/C&gt;&lt;D xsi:type="xsd:double"&gt;-23&lt;/D&gt;&lt;D xsi:type="xsd:double"&gt;-21&lt;/D&gt;&lt;D xsi:type="xsd:double"&gt;-21&lt;/D&gt;&lt;D xsi:type="xsd:double"&gt;-14&lt;/D&gt;&lt;D xsi:type="xsd:double"&gt;-4&lt;/D&gt;&lt;D xsi:type="xsd:double"&gt;-15&lt;/D&gt;&lt;D xsi:type="xsd:double"&gt;-11&lt;/D&gt;&lt;D xsi:type="xsd:double"&gt;0&lt;/D&gt;&lt;D xsi:type="xsd:double"&gt;0&lt;/D&gt;&lt;D xsi:type="xsd:double"&gt;-14&lt;/D&gt;&lt;/FQL&gt;&lt;FQL&gt;&lt;Q&gt;GE-US^FF_CONSOL_NET_INC(ANN_R,-9,0,Y,RP,USD,M)&lt;/Q&gt;&lt;R&gt;10&lt;/R&gt;&lt;C&gt;1&lt;/C&gt;&lt;D xsi:type="xsd:double"&gt;14343&lt;/D&gt;&lt;D xsi:type="xsd:double"&gt;14881&lt;/D&gt;&lt;D xsi:type="xsd:double"&gt;15454&lt;/D&gt;&lt;D xsi:type="xsd:double"&gt;9476&lt;/D&gt;&lt;D xsi:type="xsd:double"&gt;1697&lt;/D&gt;&lt;D xsi:type="xsd:double"&gt;9479&lt;/D&gt;&lt;D xsi:type="xsd:double"&gt;-8551&lt;/D&gt;&lt;D xsi:type="xsd:double"&gt;-21080&lt;/D&gt;&lt;D xsi:type="xsd:double"&gt;423&lt;/D&gt;&lt;D xsi:type="xsd:double"&gt;5658&lt;/D&gt;&lt;/FQL&gt;&lt;FQL&gt;&lt;Q&gt;GE-US^FF_MIN_INT_EXP(ANN_R,-9,0,Y,RP,USD,M)&lt;/Q&gt;&lt;R&gt;10&lt;/R&gt;&lt;C&gt;1&lt;/C&gt;&lt;D xsi:type="xsd:double"&gt;292&lt;/D&gt;&lt;D xsi:type="xsd:double"&gt;223&lt;/D&gt;&lt;D xsi:type="xsd:double"&gt;298&lt;/D&gt;&lt;D xsi:type="xsd:double"&gt;-45&lt;/D&gt;&lt;D xsi:type="xsd:double"&gt;19&lt;/D&gt;&lt;D xsi:type="xsd:double"&gt;-290&lt;/D&gt;&lt;D xsi:type="xsd:double"&gt;-371&lt;/D&gt;&lt;D xsi:type="xsd:double"&gt;-90&lt;/D&gt;&lt;D xsi:type="xsd:double"&gt;7&lt;/D&gt;&lt;D xsi:type="xsd:double"&gt;-7&lt;/D&gt;&lt;/FQL&gt;&lt;FQL&gt;&lt;Q&gt;GE-US^FF_NET_INC(ANN_R,-9,0,Y,RP,USD,M)&lt;/Q&gt;&lt;R&gt;10&lt;/R&gt;&lt;C&gt;1&lt;/C&gt;&lt;D xsi:type="xsd:double"&gt;14051&lt;/D&gt;&lt;D xsi:type="xsd:double"&gt;14658&lt;/D&gt;&lt;D xsi:type="xsd:double"&gt;15156&lt;/D&gt;&lt;D xsi:type="xsd:double"&gt;9521&lt;/D&gt;&lt;D xsi:type="xsd:double"&gt;1678&lt;/D&gt;&lt;D xsi:type="xsd:double"&gt;9769&lt;/D&gt;&lt;D xsi:type="xsd:double"&gt;-8180&lt;/D&gt;&lt;D xsi:type="xsd:double"&gt;-20990&lt;/D&gt;&lt;D xsi:type="xsd:double"&gt;416&lt;/D&gt;&lt;D xsi:type="xsd:double"&gt;5665&lt;/D&gt;&lt;/FQL&gt;&lt;FQL&gt;&lt;Q&gt;GE-US^FF_NET_MGN(ANN_R,-9,0,Y,RP,LOCAL,M)&lt;/Q&gt;&lt;R&gt;10&lt;/R&gt;&lt;C&gt;1&lt;/C&gt;&lt;D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xsi:type="xsd:double"&gt;7.09073385653311&lt;/D&gt;&lt;/FQL&gt;&lt;FQL&gt;&lt;Q&gt;GE-US^ZAV(FF_DIV_PFD(ANN_R,-9,0,Y,RP,USD,M))&lt;/Q&gt;&lt;R&gt;10&lt;/R&gt;&lt;C&gt;1&lt;/C&gt;&lt;D xsi:type="xsd:double"&gt;1031&lt;/D&gt;&lt;D xsi:type="xsd:double"&gt;0&lt;/D&gt;&lt;D xsi:type="xsd:double"&gt;0&lt;/D&gt;&lt;D xsi:type="xsd:double"&gt;0&lt;/D&gt;&lt;D xsi:type="xsd:double"&gt;18&lt;/D&gt;&lt;D xsi:type="xsd:double"&gt;656&lt;/D&gt;&lt;D xsi:type="xsd:double"&gt;436&lt;/D&gt;&lt;D xsi:type="xsd:double"&gt;448&lt;/D&gt;&lt;D xsi:type="xsd:double"&gt;460&lt;/D&gt;&lt;D xsi:type="xsd:double"&gt;474&lt;/D&gt;&lt;/FQL&gt;&lt;FQL&gt;&lt;Q&gt;GE-US^FF_NET_INC_BASIC(ANN_R,-9,0,Y,RP,USD,M)&lt;/Q&gt;&lt;R&gt;10&lt;/R&gt;&lt;C&gt;1&lt;/</t>
      </text>
    </comment>
    <comment ref="A5" authorId="0" shapeId="0">
      <text>
        <t>C&gt;&lt;D xsi:type="xsd:double"&gt;13076&lt;/D&gt;&lt;D xsi:type="xsd:double"&gt;14217&lt;/D&gt;&lt;D xsi:type="xsd:double"&gt;14821&lt;/D&gt;&lt;D xsi:type="xsd:double"&gt;15197&lt;/D&gt;&lt;D xsi:type="xsd:double"&gt;1456&lt;/D&gt;&lt;D xsi:type="xsd:double"&gt;9415&lt;/D&gt;&lt;D xsi:type="xsd:double"&gt;-9072&lt;/D&gt;&lt;D xsi:type="xsd:double"&gt;-22806&lt;/D&gt;&lt;D xsi:type="xsd:double"&gt;236&lt;/D&gt;&lt;D xsi:type="xsd:double"&gt;5098&lt;/D&gt;&lt;/FQL&gt;&lt;FQL&gt;&lt;Q&gt;GE-US^FF_EPS_DIL_BEF_UNUSUAL(ANN_R,-9,0,Y,RP,USD,M)&lt;/Q&gt;&lt;R&gt;10&lt;/R&gt;&lt;C&gt;1&lt;/C&gt;&lt;D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xsi:type="xsd:double"&gt;0.869135943385458&lt;/D&gt;&lt;/FQL&gt;&lt;FQL&gt;&lt;Q&gt;GE-US^FF_EPS_BASIC(ANN_R,-9,0,Y,RP,USD,M)&lt;/Q&gt;&lt;R&gt;10&lt;/R&gt;&lt;C&gt;1&lt;/C&gt;&lt;D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xsi:type="xsd:double"&gt;0.5824&lt;/D&gt;&lt;/FQL&gt;&lt;FQL&gt;&lt;Q&gt;GE-US^FF_EPS_DIL(ANN_R,-9,0,Y,RP,USD,M)&lt;/Q&gt;&lt;R&gt;10&lt;/R&gt;&lt;C&gt;1&lt;/C&gt;&lt;D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xsi:type="xsd:double"&gt;0.5819&lt;/D&gt;&lt;/FQL&gt;&lt;FQL&gt;&lt;Q&gt;GE-US^FF_EBITDA_OPER(ANN_R,-9,0,Y,RP,USD,M)&lt;/Q&gt;&lt;R&gt;10&lt;/R&gt;&lt;C&gt;1&lt;/C&gt;&lt;D xsi:type="xsd:double"&gt;42158&lt;/D&gt;&lt;D xsi:type="xsd:double"&gt;38880&lt;/D&gt;&lt;D xsi:type="xsd:double"&gt;35242&lt;/D&gt;&lt;D xsi:type="xsd:double"&gt;19681&lt;/D&gt;&lt;D xsi:type="xsd:double"&gt;18645&lt;/D&gt;&lt;D xsi:type="xsd:double"&gt;20771&lt;/D&gt;&lt;D xsi:type="xsd:double"&gt;7970&lt;/D&gt;&lt;D xsi:type="xsd:double"&gt;17055&lt;/D&gt;&lt;D xsi:type="xsd:double"&gt;14334&lt;/D&gt;&lt;D xsi:type="xsd:double"&gt;9079&lt;/D&gt;&lt;/FQL&gt;&lt;FQL&gt;&lt;Q&gt;GE-US^AVAIL(FF_DEP_AMORT_EXP(ANN_R,-9,0,Y,RP,USD,M),FF_DEP_EXP_CF(ANN_R,-9,0,Y,RP,USD,M))&lt;/Q&gt;&lt;R&gt;10&lt;/R&gt;&lt;C&gt;1&lt;/C&gt;&lt;D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xsi:type="xsd:double"&gt;6018&lt;/D&gt;&lt;/FQL&gt;&lt;FQL&gt;&lt;Q&gt;GE-US^FF_EBITDA_OPER_MGN(ANN_R,-9,0,Y,RP,LOCAL,M)&lt;/Q&gt;&lt;R&gt;10&lt;/R&gt;&lt;C&gt;1&lt;/C&gt;&lt;D xsi:type="xsd:double"&gt;29.5594617903394&lt;/D&gt;&lt;D xsi:type="xsd:double"&gt;26.8315574449291&lt;/D&gt;&lt;D xsi:type="xsd:double"&gt;24.6953548179136&lt;/D&gt;&lt;D xsi:type="xsd:double"&gt;16.8194986881799&lt;/D&gt;&lt;D xsi:type="xsd:double"&gt;16.0849235653404&lt;/D&gt;&lt;D xsi:type="xsd:double"&gt;17.3280831574469&lt;/D&gt;&lt;D xsi:type="xsd:double"&gt;6.74035672301954&lt;/D&gt;&lt;D xsi:type="xsd:double"&gt;17.3252742787485&lt;/D&gt;&lt;D xsi:type="xsd:double"&gt;15.0796907053811&lt;/D&gt;&lt;D xsi:type="xsd:double"&gt;11.3639492821649&lt;/D&gt;&lt;/FQL&gt;&lt;FQL&gt;&lt;Q&gt;GE-US^FF_ORDINARY_INC(ANN_R,-9,0,Y,RP,USD)&lt;/Q&gt;&lt;R&gt;10&lt;/R&gt;&lt;C&gt;1&lt;/C&gt;&lt;D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xsi:type="xsd:string"&gt;@NA&lt;/D&gt;&lt;/FQL&gt;&lt;FQL&gt;&lt;Q&gt;GE-US^FF_STK_OPT_EXP(ANN_R,-9,0,Y,RP,USD,M)&lt;/Q&gt;&lt;R&gt;10&lt;/R&gt;&lt;C&gt;1&lt;/C&gt;&lt;D xsi:type="xsd:double"&gt;151&lt;/D&gt;&lt;D xsi:type="xsd:double"&gt;146&lt;/D&gt;&lt;D xsi:type="xsd:double"&gt;148&lt;/D&gt;&lt;D xsi:type="xsd:double"&gt;124&lt;/D&gt;&lt;D xsi:type="xsd:double"&gt;183.6&lt;/D&gt;&lt;D xsi:type="xsd:double"&gt;178.2&lt;/D&gt;&lt;D xsi:type="xsd:double"&gt;241&lt;/D&gt;&lt;D xsi:type="xsd:double"&gt;336&lt;/D&gt;&lt;D xsi:type="xsd:double"&gt;400&lt;/D&gt;&lt;D xsi:type="xsd:double"&gt;353&lt;/D&gt;&lt;/FQL&gt;&lt;FQL&gt;&lt;Q&gt;GE-US^FF_OPER_LEASE_EXP(ANN_R,-9,0,Y,RP,USD,M)&lt;/Q&gt;&lt;R&gt;10&lt;/R&gt;&lt;C&gt;1&lt;/C&gt;&lt;D xsi:type="xsd:double"&gt;1583&lt;/D&gt;&lt;D xsi:type="xsd:double"&gt;1731&lt;/D&gt;&lt;D xsi:type="xsd:double"&gt;1513&lt;/D&gt;&lt;D xsi:type="xsd:double"&gt;1256&lt;/D&gt;&lt;D xsi:type="xsd:double"&gt;1196&lt;/D&gt;&lt;D xsi:type="xsd:double"&gt;1493&lt;/D&gt;&lt;D xsi:type="xsd:double"&gt;1661&lt;/D&gt;&lt;D xsi:type="xsd:double"&gt;1276&lt;/D&gt;&lt;D xsi:type="xsd:double"&gt;1176&lt;/D&gt;&lt;D xsi:type="xsd:double"&gt;1072&lt;/D&gt;&lt;/FQL&gt;&lt;FQL&gt;&lt;Q&gt;GE-US^FF_FOR_CURN_ADJ(ANN_R,-9,0,Y,RP,USD,M)&lt;/Q&gt;&lt;R&gt;10&lt;/R&gt;&lt;C&gt;1&lt;/C&gt;&lt;D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xsi:type="xsd:string"&gt;@NA&lt;/D&gt;&lt;/FQL&gt;&lt;FQL&gt;&lt;Q&gt;GE-US^FF_COM_SHS_OUT_EPS_BASIC(ANN_R,-9,0,Y,RP,USD,M)&lt;/Q&gt;&lt;R&gt;10&lt;/R&gt;&lt;C&gt;1&lt;/C&gt;&lt;D xsi:type="xsd:double"&gt;10591&lt;/D&gt;&lt;D xsi:type="xsd:double"&gt;10523&lt;/D&gt;&lt;D xsi:type="xsd:double"&gt;10222&lt;/D&gt;&lt;D xsi:type="xsd:double"&gt;10045&lt;/D&gt;&lt;D xsi:type="xsd:double"&gt;9944&lt;/D&gt;&lt;D xsi:type="xsd:double"&gt;9025&lt;/D&gt;&lt;D xsi:type="xsd:double"&gt;8687&lt;/D&gt;&lt;D xsi:type="xsd:double"&gt;8691&lt;/D&gt;&lt;D xsi:type="xsd:double"&gt;8724&lt;/D&gt;&lt;D xsi:type="xsd:double"&gt;8753&lt;/D&gt;&lt;/FQL&gt;&lt;FQL&gt;&lt;Q&gt;GE-US^FF_COM_SHS_OUT_EPS_DIL(ANN_R,-9,0,Y,RP,USD,M)&lt;/Q&gt;&lt;R&gt;10&lt;/R&gt;&lt;C&gt;1&lt;/C&gt;&lt;D xsi:type="xsd:double"&gt;10620&lt;/D&gt;&lt;D xsi:type="xsd:double"&gt;10564&lt;/D&gt;&lt;D xsi:type="xsd:double"&gt;10289&lt;/D&gt;&lt;D xsi:type="xsd:double"&gt;10123&lt;/D&gt;&lt;D xsi:type="xsd:double"&gt;10016&lt;/D&gt;&lt;D xsi:type="xsd:double"&gt;9130&lt;/D&gt;&lt;D xsi:type="xsd:double"&gt;8687&lt;/D&gt;&lt;D xsi:type="xsd:double"&gt;8691&lt;/D&gt;&lt;D xsi:type="xsd:double"&gt;8724&lt;/D&gt;&lt;D xsi:type="xsd:double"&gt;8761&lt;/D&gt;&lt;/FQL&gt;&lt;/Schema&gt;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0</row>
      <rowOff>0</rowOff>
    </from>
    <to>
      <col>9</col>
      <colOff>22227</colOff>
      <row>0</row>
      <rowOff>1177707</rowOff>
    </to>
    <grpSp>
      <nvGrpSpPr>
        <cNvPr id="9" name="Group 8"/>
        <cNvGrpSpPr/>
      </nvGrpSpPr>
      <grpSpPr>
        <a:xfrm xmlns:a="http://schemas.openxmlformats.org/drawingml/2006/main" rot="0">
          <a:off x="0" y="0"/>
          <a:ext cx="9102727" cy="1177707"/>
          <a:chOff x="82548" y="28575"/>
          <a:chExt cx="8632827" cy="1177707"/>
        </a:xfrm>
      </grpSpPr>
      <pic>
        <nvPicPr>
          <cNvPr id="10" name="Picture 9" descr="Logo, company name&#10;&#10;Description automatically generated"/>
          <cNvPicPr>
            <a:picLocks xmlns:a="http://schemas.openxmlformats.org/drawingml/2006/main" noChangeAspect="1"/>
          </cNvPicPr>
        </nvPicPr>
        <blipFill>
          <a:blip xmlns:a="http://schemas.openxmlformats.org/drawingml/2006/main" xmlns:r="http://schemas.openxmlformats.org/officeDocument/2006/relationships" cstate="print" r:embed="rId1"/>
          <a:stretch xmlns:a="http://schemas.openxmlformats.org/drawingml/2006/main">
            <a:fillRect/>
          </a:stretch>
        </blipFill>
        <spPr>
          <a:xfrm xmlns:a="http://schemas.openxmlformats.org/drawingml/2006/main">
            <a:off x="82548" y="28575"/>
            <a:ext cx="1089025" cy="1177707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8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5"/>
  <sheetViews>
    <sheetView workbookViewId="0">
      <selection activeCell="A1" sqref="A1"/>
    </sheetView>
  </sheetViews>
  <sheetFormatPr baseColWidth="10" defaultColWidth="8.83203125" defaultRowHeight="13"/>
  <sheetData>
    <row r="1">
      <c r="A1" t="n"/>
      <c r="B1" t="inlineStr">
        <is>
          <t>This sheet contains FactSet XML data for use with this workbook's =FDS codes.  Modifying the worksheet's contents may damage the workbook's =FDS functionality.</t>
        </is>
      </c>
    </row>
    <row r="2">
      <c r="A2" t="n"/>
    </row>
    <row r="3">
      <c r="A3" t="n"/>
    </row>
    <row r="4">
      <c r="A4" t="n"/>
    </row>
    <row r="5">
      <c r="A5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5">
    <outlinePr summaryBelow="1" summaryRight="1"/>
    <pageSetUpPr fitToPage="1"/>
  </sheetPr>
  <dimension ref="A2:J23"/>
  <sheetViews>
    <sheetView showGridLines="0" showRowColHeaders="0" zoomScaleNormal="100" workbookViewId="0">
      <selection activeCell="A1" sqref="A1"/>
    </sheetView>
  </sheetViews>
  <sheetFormatPr baseColWidth="10" defaultColWidth="8.83203125" defaultRowHeight="13"/>
  <cols>
    <col width="4.83203125" customWidth="1" min="2" max="2"/>
    <col width="54" customWidth="1" min="3" max="3"/>
    <col width="7.33203125" customWidth="1" min="4" max="4"/>
  </cols>
  <sheetData>
    <row r="1" ht="97.25" customHeight="1"/>
    <row r="2" ht="12.75" customHeight="1">
      <c r="A2" s="209" t="n"/>
    </row>
    <row r="3" ht="16" customHeight="1">
      <c r="A3" s="187" t="n"/>
      <c r="B3" s="188" t="n"/>
      <c r="C3" s="209" t="n"/>
      <c r="D3" s="209" t="n"/>
      <c r="E3" s="209" t="n"/>
      <c r="F3" s="209" t="n"/>
      <c r="G3" s="209" t="n"/>
      <c r="H3" s="209" t="n"/>
      <c r="I3" s="187" t="n"/>
      <c r="J3" s="187" t="n"/>
    </row>
    <row r="4" ht="18" customHeight="1">
      <c r="A4" s="187" t="n"/>
      <c r="B4" s="190" t="inlineStr">
        <is>
          <t>I</t>
        </is>
      </c>
      <c r="C4" s="203" t="inlineStr">
        <is>
          <t>Financial Statements</t>
        </is>
      </c>
      <c r="D4" s="190" t="inlineStr">
        <is>
          <t>II</t>
        </is>
      </c>
      <c r="E4" s="191" t="inlineStr">
        <is>
          <t>Valuation Models</t>
        </is>
      </c>
      <c r="F4" s="187" t="n"/>
      <c r="G4" s="187" t="n"/>
      <c r="H4" s="187" t="n"/>
      <c r="I4" s="187" t="n"/>
      <c r="J4" s="187" t="n"/>
    </row>
    <row r="5" ht="13" customHeight="1">
      <c r="A5" s="187" t="n"/>
      <c r="B5" s="187" t="n"/>
      <c r="C5" s="187" t="n"/>
      <c r="D5" s="187" t="n"/>
      <c r="E5" s="187" t="n"/>
      <c r="F5" s="187" t="n"/>
      <c r="G5" s="187" t="n"/>
      <c r="H5" s="187" t="n"/>
      <c r="I5" s="187" t="n"/>
      <c r="J5" s="187" t="n"/>
    </row>
    <row r="6" ht="13" customHeight="1">
      <c r="A6" s="187" t="n"/>
      <c r="B6" s="187" t="n"/>
      <c r="C6" s="187" t="n"/>
      <c r="D6" s="187" t="n"/>
      <c r="E6" s="187" t="n"/>
      <c r="F6" s="187" t="n"/>
      <c r="G6" s="187" t="n"/>
      <c r="H6" s="187" t="n"/>
      <c r="I6" s="187" t="n"/>
      <c r="J6" s="187" t="n"/>
    </row>
    <row r="7" ht="13" customHeight="1">
      <c r="A7" s="187" t="n"/>
      <c r="B7" s="187" t="n"/>
      <c r="C7" s="187" t="n"/>
      <c r="D7" s="187" t="n"/>
      <c r="E7" s="187" t="n"/>
      <c r="F7" s="187" t="n"/>
      <c r="G7" s="187" t="n"/>
      <c r="H7" s="187" t="n"/>
      <c r="I7" s="187" t="n"/>
      <c r="J7" s="187" t="n"/>
    </row>
    <row r="8" ht="13" customHeight="1">
      <c r="A8" s="187" t="n"/>
      <c r="B8" s="187" t="n"/>
      <c r="C8" s="187" t="n"/>
      <c r="D8" s="187" t="n"/>
      <c r="E8" s="187" t="n"/>
      <c r="F8" s="187" t="n"/>
      <c r="G8" s="187" t="n"/>
      <c r="H8" s="187" t="n"/>
      <c r="I8" s="187" t="n"/>
      <c r="J8" s="187" t="n"/>
    </row>
    <row r="9" ht="13" customHeight="1">
      <c r="A9" s="187" t="n"/>
      <c r="B9" s="187" t="n"/>
      <c r="C9" s="187" t="n"/>
      <c r="D9" s="187" t="n"/>
      <c r="E9" s="187" t="n"/>
      <c r="F9" s="187" t="n"/>
      <c r="G9" s="187" t="n"/>
      <c r="H9" s="187" t="n"/>
      <c r="I9" s="187" t="n"/>
      <c r="J9" s="187" t="n"/>
    </row>
    <row r="10" ht="13" customHeight="1">
      <c r="A10" s="187" t="n"/>
      <c r="B10" s="187" t="n"/>
      <c r="C10" s="187" t="n"/>
      <c r="D10" s="192" t="n"/>
      <c r="E10" s="187" t="n"/>
      <c r="F10" s="187" t="n"/>
      <c r="G10" s="187" t="n"/>
      <c r="H10" s="187" t="n"/>
      <c r="I10" s="187" t="n"/>
      <c r="J10" s="187" t="n"/>
    </row>
    <row r="11" ht="13" customHeight="1">
      <c r="A11" s="187" t="n"/>
      <c r="B11" s="187" t="n"/>
      <c r="C11" s="187" t="n"/>
      <c r="D11" s="193" t="n"/>
      <c r="E11" s="194" t="n"/>
      <c r="F11" s="187" t="n"/>
      <c r="G11" s="187" t="n"/>
      <c r="H11" s="187" t="n"/>
      <c r="I11" s="187" t="n"/>
      <c r="J11" s="187" t="n"/>
    </row>
    <row r="12">
      <c r="A12" s="187" t="n"/>
      <c r="B12" s="187" t="n"/>
      <c r="C12" s="187" t="n"/>
      <c r="D12" s="187" t="n"/>
      <c r="E12" s="187" t="n"/>
      <c r="F12" s="187" t="n"/>
      <c r="G12" s="187" t="n"/>
      <c r="H12" s="187" t="n"/>
      <c r="I12" s="187" t="n"/>
      <c r="J12" s="187" t="n"/>
    </row>
    <row r="14" ht="16" customHeight="1">
      <c r="C14" s="194" t="n"/>
    </row>
    <row r="17">
      <c r="C17" s="195" t="n"/>
    </row>
    <row r="18">
      <c r="C18" s="195" t="n"/>
    </row>
    <row r="19">
      <c r="B19" s="196" t="n"/>
      <c r="C19" s="196" t="n"/>
      <c r="D19" s="196" t="n"/>
      <c r="E19" s="196" t="n"/>
      <c r="F19" s="196" t="n"/>
    </row>
    <row r="22" ht="10.5" customHeight="1">
      <c r="A22" s="197" t="n"/>
      <c r="B22" s="197" t="n"/>
      <c r="C22" s="197" t="n"/>
      <c r="D22" s="197" t="n"/>
      <c r="E22" s="197" t="n"/>
      <c r="F22" s="197" t="n"/>
      <c r="G22" s="197" t="n"/>
      <c r="H22" s="197" t="n"/>
      <c r="I22" s="197" t="n"/>
      <c r="J22" s="197" t="n"/>
    </row>
    <row r="23">
      <c r="I23" t="inlineStr">
        <is>
          <t>`</t>
        </is>
      </c>
    </row>
  </sheetData>
  <mergeCells count="1">
    <mergeCell ref="A2:J2"/>
  </mergeCells>
  <pageMargins left="0.57" right="0.54" top="1" bottom="1" header="0.5" footer="0.5"/>
  <pageSetup orientation="landscape" scale="97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7">
    <outlinePr summaryBelow="1" summaryRight="1"/>
    <pageSetUpPr/>
  </sheetPr>
  <dimension ref="A1:K64"/>
  <sheetViews>
    <sheetView showGridLines="0" workbookViewId="0">
      <selection activeCell="H14" sqref="H14"/>
    </sheetView>
  </sheetViews>
  <sheetFormatPr baseColWidth="10" defaultColWidth="8.83203125" defaultRowHeight="13"/>
  <cols>
    <col width="36.6640625" customWidth="1" min="1" max="1"/>
    <col width="1.1640625" customWidth="1" min="2" max="2"/>
    <col width="10.6640625" customWidth="1" min="3" max="9"/>
    <col width="10.83203125" bestFit="1" customWidth="1" min="10" max="10"/>
    <col width="10.83203125" customWidth="1" min="12" max="17"/>
  </cols>
  <sheetData>
    <row r="1" ht="18" customHeight="1">
      <c r="A1" s="231" t="inlineStr">
        <is>
          <t>Lululemon Athletica Inc. (LULU)</t>
        </is>
      </c>
      <c r="B1" s="7" t="n"/>
    </row>
    <row r="2">
      <c r="A2" s="8" t="inlineStr">
        <is>
          <t>Income Statement</t>
        </is>
      </c>
      <c r="B2" s="8" t="n"/>
    </row>
    <row r="3" ht="30" customHeight="1">
      <c r="C3" s="232" t="inlineStr">
        <is>
          <t>FY 2021
(1/31/2021)</t>
        </is>
      </c>
      <c r="D3" s="232" t="inlineStr">
        <is>
          <t>FY 2022
(1/30/2022)</t>
        </is>
      </c>
      <c r="E3" s="232" t="inlineStr">
        <is>
          <t>FY 2023
(1/29/2023)</t>
        </is>
      </c>
      <c r="F3" s="232" t="inlineStr">
        <is>
          <t>FY 2024
(1/28/2024)</t>
        </is>
      </c>
      <c r="G3" s="232" t="inlineStr">
        <is>
          <t>FY 2025
(2/2/2025)</t>
        </is>
      </c>
      <c r="H3" s="233" t="inlineStr">
        <is>
          <t>FY 2026E</t>
        </is>
      </c>
      <c r="I3" s="233" t="inlineStr">
        <is>
          <t>FY 2027E</t>
        </is>
      </c>
    </row>
    <row r="4">
      <c r="C4" s="9" t="n"/>
      <c r="D4" s="9" t="n"/>
      <c r="E4" s="9" t="n"/>
      <c r="F4" s="9" t="n"/>
      <c r="G4" s="9" t="n"/>
      <c r="H4" s="14" t="n"/>
      <c r="I4" s="14" t="n"/>
    </row>
    <row r="5">
      <c r="A5" s="1" t="inlineStr">
        <is>
          <t>Sales/Revenue</t>
        </is>
      </c>
      <c r="B5" s="1" t="n"/>
      <c r="C5" s="56" t="n">
        <v>119869</v>
      </c>
      <c r="D5" s="56" t="n">
        <v>118243</v>
      </c>
      <c r="E5" s="56" t="n">
        <v>98440</v>
      </c>
      <c r="F5" s="56" t="n">
        <v>95055</v>
      </c>
      <c r="G5" s="56" t="n">
        <v>79893</v>
      </c>
      <c r="H5" s="184" t="n">
        <v>76852.53</v>
      </c>
      <c r="I5" s="184" t="n">
        <v>82193</v>
      </c>
    </row>
    <row r="6" ht="14" customHeight="1" thickBot="1">
      <c r="A6" s="3" t="inlineStr">
        <is>
          <t>Cost of Good Sold (Excluding D&amp;A)</t>
        </is>
      </c>
      <c r="B6" s="3" t="n"/>
      <c r="C6" s="56" t="n">
        <v>73392</v>
      </c>
      <c r="D6" s="56" t="n">
        <v>76316</v>
      </c>
      <c r="E6" s="56" t="n">
        <v>62252</v>
      </c>
      <c r="F6" s="56" t="n">
        <v>60989</v>
      </c>
      <c r="G6" s="56" t="n">
        <v>53873</v>
      </c>
      <c r="H6" s="167">
        <f>H$5*$H55</f>
        <v/>
      </c>
      <c r="I6" s="167">
        <f>I$5*$H55</f>
        <v/>
      </c>
    </row>
    <row r="7">
      <c r="A7" s="1" t="inlineStr">
        <is>
          <t>Gross Income</t>
        </is>
      </c>
      <c r="B7" s="1" t="n"/>
      <c r="C7" s="4" t="n">
        <v>46477</v>
      </c>
      <c r="D7" s="4" t="n">
        <v>41927</v>
      </c>
      <c r="E7" s="4" t="n">
        <v>36188</v>
      </c>
      <c r="F7" s="4" t="n">
        <v>34066</v>
      </c>
      <c r="G7" s="4" t="n">
        <v>26020</v>
      </c>
      <c r="H7" s="168">
        <f>H5-H6</f>
        <v/>
      </c>
      <c r="I7" s="168">
        <f>I5-I6</f>
        <v/>
      </c>
    </row>
    <row r="8">
      <c r="A8" s="5" t="inlineStr">
        <is>
          <t>SG&amp;A Expense</t>
        </is>
      </c>
      <c r="B8" s="5" t="n"/>
      <c r="C8" s="56" t="n">
        <v>21959</v>
      </c>
      <c r="D8" s="56" t="n">
        <v>20707</v>
      </c>
      <c r="E8" s="56" t="n">
        <v>15929</v>
      </c>
      <c r="F8" s="56" t="n">
        <v>15980</v>
      </c>
      <c r="G8" s="56" t="n">
        <v>14160</v>
      </c>
      <c r="H8" s="167">
        <f>H$5*$H56</f>
        <v/>
      </c>
      <c r="I8" s="167">
        <f>I$5*$H56</f>
        <v/>
      </c>
    </row>
    <row r="9" ht="14" customHeight="1" thickBot="1">
      <c r="A9" s="5" t="inlineStr">
        <is>
          <t>Other Operating Expense</t>
        </is>
      </c>
      <c r="B9" s="5" t="n"/>
      <c r="C9" s="56" t="n">
        <v>3747</v>
      </c>
      <c r="D9" s="56" t="n">
        <v>13250</v>
      </c>
      <c r="E9" s="56" t="n">
        <v>3204</v>
      </c>
      <c r="F9" s="56" t="n">
        <v>3752</v>
      </c>
      <c r="G9" s="56" t="n">
        <v>2781</v>
      </c>
      <c r="H9" s="167">
        <f>H$5*$H57</f>
        <v/>
      </c>
      <c r="I9" s="167">
        <f>I$5*$H57</f>
        <v/>
      </c>
    </row>
    <row r="10">
      <c r="A10" s="1" t="inlineStr">
        <is>
          <t>EBITDA</t>
        </is>
      </c>
      <c r="B10" s="1" t="n"/>
      <c r="C10" s="4" t="n">
        <v>20771</v>
      </c>
      <c r="D10" s="4" t="n">
        <v>7970</v>
      </c>
      <c r="E10" s="4" t="n">
        <v>17055</v>
      </c>
      <c r="F10" s="4" t="n">
        <v>14334</v>
      </c>
      <c r="G10" s="4" t="n">
        <v>9079</v>
      </c>
      <c r="H10" s="168">
        <f>H7-H8-H9</f>
        <v/>
      </c>
      <c r="I10" s="168">
        <f>I7-I8-I9</f>
        <v/>
      </c>
    </row>
    <row r="11" ht="14" customHeight="1" thickBot="1">
      <c r="A11" s="43" t="inlineStr">
        <is>
          <t>Depreciation &amp; Amortization</t>
        </is>
      </c>
      <c r="B11" s="43" t="n"/>
      <c r="C11" s="56" t="n">
        <v>6832</v>
      </c>
      <c r="D11" s="56" t="n">
        <v>7429</v>
      </c>
      <c r="E11" s="56" t="n">
        <v>6582</v>
      </c>
      <c r="F11" s="56" t="n">
        <v>5595</v>
      </c>
      <c r="G11" s="56" t="n">
        <v>6018</v>
      </c>
      <c r="H11" s="167">
        <f>H$5*$H58</f>
        <v/>
      </c>
      <c r="I11" s="167">
        <f>I$5*$H58</f>
        <v/>
      </c>
    </row>
    <row r="12">
      <c r="A12" s="1" t="inlineStr">
        <is>
          <t>EBIT (Operating Income)</t>
        </is>
      </c>
      <c r="B12" s="1" t="n"/>
      <c r="C12" s="10" t="n">
        <v>13939</v>
      </c>
      <c r="D12" s="10" t="n">
        <v>541</v>
      </c>
      <c r="E12" s="10" t="n">
        <v>10473</v>
      </c>
      <c r="F12" s="10" t="n">
        <v>8739</v>
      </c>
      <c r="G12" s="10" t="n">
        <v>3061</v>
      </c>
      <c r="H12" s="168">
        <f>H10-H11</f>
        <v/>
      </c>
      <c r="I12" s="168">
        <f>I10-I11</f>
        <v/>
      </c>
    </row>
    <row r="13">
      <c r="A13" s="5" t="inlineStr">
        <is>
          <t>Nonoperating Income (Expense)</t>
        </is>
      </c>
      <c r="B13" s="5" t="n"/>
      <c r="C13" s="11" t="n">
        <v>3680</v>
      </c>
      <c r="D13" s="11" t="n">
        <v>-273</v>
      </c>
      <c r="E13" s="11" t="n">
        <v>-376</v>
      </c>
      <c r="F13" s="11" t="n">
        <v>-600</v>
      </c>
      <c r="G13" s="11" t="n">
        <v>8962</v>
      </c>
      <c r="H13" s="169">
        <f>H$5*$H59</f>
        <v/>
      </c>
      <c r="I13" s="169">
        <f>I$5*$H59</f>
        <v/>
      </c>
    </row>
    <row r="14">
      <c r="A14" s="5" t="inlineStr">
        <is>
          <t>Interest Expense</t>
        </is>
      </c>
      <c r="B14" s="5" t="n"/>
      <c r="C14" s="56" t="n">
        <v>4281</v>
      </c>
      <c r="D14" s="56" t="n">
        <v>4869</v>
      </c>
      <c r="E14" s="56" t="n">
        <v>4560</v>
      </c>
      <c r="F14" s="56" t="n">
        <v>4324</v>
      </c>
      <c r="G14" s="56" t="n">
        <v>3231</v>
      </c>
      <c r="H14" s="167">
        <f>G14</f>
        <v/>
      </c>
      <c r="I14" s="167">
        <f>G14</f>
        <v/>
      </c>
    </row>
    <row r="15" ht="14" customHeight="1" thickBot="1">
      <c r="A15" s="5" t="inlineStr">
        <is>
          <t>Unusual Expense</t>
        </is>
      </c>
      <c r="B15" s="5" t="n"/>
      <c r="C15" s="56" t="n">
        <v>4308</v>
      </c>
      <c r="D15" s="56" t="n">
        <v>6550</v>
      </c>
      <c r="E15" s="56" t="n">
        <v>26524</v>
      </c>
      <c r="F15" s="56" t="n">
        <v>2666</v>
      </c>
      <c r="G15" s="56" t="n">
        <v>3595</v>
      </c>
      <c r="H15" s="167" t="n"/>
      <c r="I15" s="167" t="n"/>
    </row>
    <row r="16">
      <c r="A16" s="1" t="inlineStr">
        <is>
          <t>Pretax Income</t>
        </is>
      </c>
      <c r="B16" s="1" t="n"/>
      <c r="C16" s="4" t="n">
        <v>9030</v>
      </c>
      <c r="D16" s="4" t="n">
        <v>-11151</v>
      </c>
      <c r="E16" s="4" t="n">
        <v>-20987</v>
      </c>
      <c r="F16" s="4" t="n">
        <v>1149</v>
      </c>
      <c r="G16" s="4" t="n">
        <v>5197</v>
      </c>
      <c r="H16" s="168">
        <f>H12+H13-H14-H15</f>
        <v/>
      </c>
      <c r="I16" s="168">
        <f>I12+I13-I14-I15</f>
        <v/>
      </c>
      <c r="J16" s="11" t="n"/>
      <c r="K16" s="11" t="n"/>
    </row>
    <row r="17">
      <c r="A17" s="5" t="inlineStr">
        <is>
          <t>Income Taxes</t>
        </is>
      </c>
      <c r="B17" s="5" t="n"/>
      <c r="C17" s="56" t="n">
        <v>-464</v>
      </c>
      <c r="D17" s="56" t="n">
        <v>-2611</v>
      </c>
      <c r="E17" s="56" t="n">
        <v>93</v>
      </c>
      <c r="F17" s="56" t="n">
        <v>726</v>
      </c>
      <c r="G17" s="56" t="n">
        <v>-475</v>
      </c>
      <c r="H17" s="167">
        <f>H$5*$H61</f>
        <v/>
      </c>
      <c r="I17" s="167">
        <f>I$5*$H61</f>
        <v/>
      </c>
      <c r="J17" s="11" t="n"/>
    </row>
    <row r="18" ht="14" customHeight="1" thickBot="1">
      <c r="A18" s="5" t="inlineStr">
        <is>
          <t>Minority Interest Expense</t>
        </is>
      </c>
      <c r="B18" s="5" t="n"/>
      <c r="C18" s="56" t="n">
        <v>-290</v>
      </c>
      <c r="D18" s="56" t="n">
        <v>-371</v>
      </c>
      <c r="E18" s="56" t="n">
        <v>-90</v>
      </c>
      <c r="F18" s="56" t="n">
        <v>7</v>
      </c>
      <c r="G18" s="56" t="n">
        <v>-7</v>
      </c>
      <c r="H18" s="167">
        <f>G18</f>
        <v/>
      </c>
      <c r="I18" s="167">
        <f>G18</f>
        <v/>
      </c>
    </row>
    <row r="19" ht="14" customHeight="1" thickBot="1">
      <c r="A19" s="1" t="inlineStr">
        <is>
          <t>Net Income</t>
        </is>
      </c>
      <c r="B19" s="1" t="n"/>
      <c r="C19" s="6" t="n">
        <v>9784</v>
      </c>
      <c r="D19" s="6" t="n">
        <v>-8169</v>
      </c>
      <c r="E19" s="6" t="n">
        <v>-20990</v>
      </c>
      <c r="F19" s="6" t="n">
        <v>416</v>
      </c>
      <c r="G19" s="6" t="n">
        <v>5679</v>
      </c>
      <c r="H19" s="170">
        <f>H16-H17-H18</f>
        <v/>
      </c>
      <c r="I19" s="170">
        <f>I16-I17-I18</f>
        <v/>
      </c>
    </row>
    <row r="20" ht="14" customHeight="1" thickTop="1">
      <c r="A20" s="43" t="inlineStr">
        <is>
          <t>Preferred Dividends</t>
        </is>
      </c>
      <c r="B20" s="43" t="n"/>
      <c r="C20" t="n">
        <v>656</v>
      </c>
      <c r="D20" t="n">
        <v>436</v>
      </c>
      <c r="E20" t="n">
        <v>448</v>
      </c>
      <c r="F20" t="n">
        <v>460</v>
      </c>
      <c r="G20" t="n">
        <v>474</v>
      </c>
      <c r="H20" s="171">
        <f>G20</f>
        <v/>
      </c>
      <c r="I20" s="171">
        <f>G20</f>
        <v/>
      </c>
    </row>
    <row r="21">
      <c r="A21" s="1" t="inlineStr">
        <is>
          <t>Net Income available to Common</t>
        </is>
      </c>
      <c r="B21" s="1" t="n"/>
      <c r="C21" s="11" t="n">
        <v>9128</v>
      </c>
      <c r="D21" s="11" t="n">
        <v>-8605</v>
      </c>
      <c r="E21" s="11" t="n">
        <v>-21438</v>
      </c>
      <c r="F21" s="11" t="n">
        <v>-44</v>
      </c>
      <c r="G21" s="11" t="n">
        <v>5205</v>
      </c>
      <c r="H21" s="169">
        <f>H19-H20</f>
        <v/>
      </c>
      <c r="I21" s="169">
        <f>I19-I20</f>
        <v/>
      </c>
    </row>
    <row r="22">
      <c r="H22" s="171" t="n"/>
      <c r="I22" s="171" t="n"/>
    </row>
    <row r="23">
      <c r="A23" s="12" t="inlineStr">
        <is>
          <t>Basic Shares Outstanding</t>
        </is>
      </c>
      <c r="B23" s="12" t="n"/>
      <c r="C23" s="234" t="n">
        <v>9025</v>
      </c>
      <c r="D23" s="234" t="n">
        <v>8687</v>
      </c>
      <c r="E23" s="234" t="n">
        <v>8691</v>
      </c>
      <c r="F23" s="234" t="n">
        <v>8724</v>
      </c>
      <c r="G23" s="234" t="n">
        <v>8753</v>
      </c>
      <c r="H23" s="235">
        <f>G23</f>
        <v/>
      </c>
      <c r="I23" s="235">
        <f>G23</f>
        <v/>
      </c>
    </row>
    <row r="24">
      <c r="A24" s="12" t="inlineStr">
        <is>
          <t>Diluted Shares Outstanding</t>
        </is>
      </c>
      <c r="B24" s="12" t="n"/>
      <c r="C24" s="234" t="n">
        <v>9130</v>
      </c>
      <c r="D24" s="234" t="n">
        <v>8687</v>
      </c>
      <c r="E24" s="234" t="n">
        <v>8691</v>
      </c>
      <c r="F24" s="234" t="n">
        <v>8724</v>
      </c>
      <c r="G24" s="234" t="n">
        <v>8761</v>
      </c>
      <c r="H24" s="235">
        <f>G24</f>
        <v/>
      </c>
      <c r="I24" s="235">
        <f>G24</f>
        <v/>
      </c>
    </row>
    <row r="25">
      <c r="H25" s="171" t="n"/>
      <c r="I25" s="171" t="n"/>
    </row>
    <row r="26">
      <c r="H26" s="171" t="n"/>
      <c r="I26" s="171" t="n"/>
    </row>
    <row r="27">
      <c r="A27" s="12" t="inlineStr">
        <is>
          <t>EPS Basic Shares Outstanding</t>
        </is>
      </c>
      <c r="B27" s="12" t="n"/>
      <c r="C27" s="41" t="n">
        <v>1.011412742382271</v>
      </c>
      <c r="D27" s="41" t="n">
        <v>-0.9905606078047657</v>
      </c>
      <c r="E27" s="41" t="n">
        <v>-2.466689678978253</v>
      </c>
      <c r="F27" s="41" t="n">
        <v>-0.00504355800091701</v>
      </c>
      <c r="G27" s="41" t="n">
        <v>0.5946532617388324</v>
      </c>
      <c r="H27" s="173">
        <f>H21/H23</f>
        <v/>
      </c>
      <c r="I27" s="173">
        <f>I21/I23</f>
        <v/>
      </c>
    </row>
    <row r="28">
      <c r="A28" s="12" t="inlineStr">
        <is>
          <t>EPS Diluted Shares Outstanding</t>
        </is>
      </c>
      <c r="B28" s="12" t="n"/>
      <c r="C28" s="41" t="n">
        <v>0.9997809419496166</v>
      </c>
      <c r="D28" s="41" t="n">
        <v>-0.9905606078047657</v>
      </c>
      <c r="E28" s="41" t="n">
        <v>-2.466689678978253</v>
      </c>
      <c r="F28" s="41" t="n">
        <v>-0.00504355800091701</v>
      </c>
      <c r="G28" s="41" t="n">
        <v>0.5941102613856866</v>
      </c>
      <c r="H28" s="173">
        <f>H21/H24</f>
        <v/>
      </c>
      <c r="I28" s="173">
        <f>I21/I24</f>
        <v/>
      </c>
    </row>
    <row r="31" ht="16" customHeight="1">
      <c r="A31" s="162" t="inlineStr">
        <is>
          <t>Income Statement Items</t>
        </is>
      </c>
      <c r="B31" s="162" t="n"/>
      <c r="C31" s="211" t="inlineStr">
        <is>
          <t>Assumptions</t>
        </is>
      </c>
    </row>
    <row r="32">
      <c r="A32" s="155" t="inlineStr">
        <is>
          <t>Sales/Revenue</t>
        </is>
      </c>
      <c r="B32" s="155" t="n"/>
      <c r="C32" s="160" t="inlineStr">
        <is>
          <t>Wall St Estimate for Next FY &amp; Next FY (+1)</t>
        </is>
      </c>
      <c r="D32" s="156" t="n"/>
      <c r="E32" s="156" t="n"/>
      <c r="F32" s="156" t="n"/>
      <c r="G32" s="156" t="n"/>
      <c r="H32" s="156" t="n"/>
      <c r="I32" s="156" t="n"/>
    </row>
    <row r="33">
      <c r="A33" s="157" t="inlineStr">
        <is>
          <t>Cost of Good Sold (Excluding D&amp;A)</t>
        </is>
      </c>
      <c r="B33" s="157" t="n"/>
      <c r="C33" s="161" t="inlineStr">
        <is>
          <t xml:space="preserve">Last 5 yrs % of sales </t>
        </is>
      </c>
      <c r="D33" s="156" t="n"/>
      <c r="E33" s="156" t="n"/>
      <c r="F33" s="156" t="n"/>
      <c r="G33" s="156" t="n"/>
      <c r="H33" s="156" t="n"/>
      <c r="I33" s="156" t="n"/>
    </row>
    <row r="34">
      <c r="A34" s="155" t="inlineStr">
        <is>
          <t>Gross Income</t>
        </is>
      </c>
      <c r="B34" s="155" t="n"/>
      <c r="C34" s="160" t="inlineStr">
        <is>
          <t>Sales/Revenue  - Cost of Good Sold (Excluding D&amp;A)</t>
        </is>
      </c>
      <c r="D34" s="156" t="n"/>
      <c r="E34" s="156" t="n"/>
      <c r="F34" s="156" t="n"/>
      <c r="G34" s="156" t="n"/>
      <c r="H34" s="156" t="n"/>
      <c r="I34" s="156" t="n"/>
    </row>
    <row r="35">
      <c r="A35" s="158" t="inlineStr">
        <is>
          <t>SG&amp;A Expense</t>
        </is>
      </c>
      <c r="B35" s="158" t="n"/>
      <c r="C35" s="161" t="inlineStr">
        <is>
          <t xml:space="preserve">Last 5 yrs % of sales </t>
        </is>
      </c>
      <c r="D35" s="156" t="n"/>
      <c r="E35" s="156" t="n"/>
      <c r="F35" s="156" t="n"/>
      <c r="G35" s="156" t="n"/>
      <c r="H35" s="156" t="n"/>
      <c r="I35" s="156" t="n"/>
    </row>
    <row r="36">
      <c r="A36" s="158" t="inlineStr">
        <is>
          <t>Other Operating Expense</t>
        </is>
      </c>
      <c r="B36" s="158" t="n"/>
      <c r="C36" s="161" t="inlineStr">
        <is>
          <t xml:space="preserve">Last 5 yrs % of sales </t>
        </is>
      </c>
      <c r="D36" s="156" t="n"/>
      <c r="E36" s="156" t="n"/>
      <c r="F36" s="156" t="n"/>
      <c r="G36" s="156" t="n"/>
      <c r="H36" s="156" t="n"/>
      <c r="I36" s="156" t="n"/>
    </row>
    <row r="37">
      <c r="A37" s="155" t="inlineStr">
        <is>
          <t>EBITDA</t>
        </is>
      </c>
      <c r="B37" s="155" t="n"/>
      <c r="C37" s="160" t="inlineStr">
        <is>
          <t>Gross Income - SG&amp;A Expense - Other Operating Expense</t>
        </is>
      </c>
      <c r="D37" s="156" t="n"/>
      <c r="E37" s="156" t="n"/>
      <c r="F37" s="156" t="n"/>
      <c r="G37" s="156" t="n"/>
      <c r="H37" s="156" t="n"/>
      <c r="I37" s="156" t="n"/>
    </row>
    <row r="38">
      <c r="A38" s="158" t="inlineStr">
        <is>
          <t>Depreciation &amp; Amortization</t>
        </is>
      </c>
      <c r="B38" s="158" t="n"/>
      <c r="C38" s="161" t="inlineStr">
        <is>
          <t xml:space="preserve">% of sales </t>
        </is>
      </c>
      <c r="D38" s="156" t="n"/>
      <c r="E38" s="156" t="n"/>
      <c r="F38" s="156" t="n"/>
      <c r="G38" s="156" t="n"/>
      <c r="H38" s="156" t="n"/>
      <c r="I38" s="156" t="n"/>
    </row>
    <row r="39">
      <c r="A39" s="155" t="inlineStr">
        <is>
          <t>EBIT (Operating Income)</t>
        </is>
      </c>
      <c r="B39" s="155" t="n"/>
      <c r="C39" s="160" t="inlineStr">
        <is>
          <t>EBITDA - Depreciation &amp; Amortization</t>
        </is>
      </c>
      <c r="D39" s="156" t="n"/>
      <c r="E39" s="156" t="n"/>
      <c r="F39" s="156" t="n"/>
      <c r="G39" s="156" t="n"/>
      <c r="H39" s="156" t="n"/>
      <c r="I39" s="156" t="n"/>
    </row>
    <row r="40">
      <c r="A40" s="158" t="inlineStr">
        <is>
          <t>Nonoperating Income (Expense)</t>
        </is>
      </c>
      <c r="B40" s="158" t="n"/>
      <c r="C40" s="161" t="inlineStr">
        <is>
          <t xml:space="preserve">Last 5 yrs % of sales </t>
        </is>
      </c>
      <c r="D40" s="156" t="n"/>
      <c r="E40" s="156" t="n"/>
      <c r="F40" s="156" t="n"/>
      <c r="G40" s="156" t="n"/>
      <c r="H40" s="156" t="n"/>
      <c r="I40" s="156" t="n"/>
    </row>
    <row r="41">
      <c r="A41" s="158" t="inlineStr">
        <is>
          <t>Interest Expense</t>
        </is>
      </c>
      <c r="B41" s="158" t="n"/>
      <c r="C41" s="161" t="inlineStr">
        <is>
          <t>Same as last reported</t>
        </is>
      </c>
      <c r="D41" s="156" t="n"/>
      <c r="E41" s="156" t="n"/>
      <c r="F41" s="156" t="n"/>
      <c r="G41" s="156" t="n"/>
      <c r="H41" s="156" t="n"/>
      <c r="I41" s="156" t="n"/>
    </row>
    <row r="42">
      <c r="A42" s="158" t="inlineStr">
        <is>
          <t>Unusual Expense</t>
        </is>
      </c>
      <c r="B42" s="158" t="n"/>
      <c r="C42" s="161" t="inlineStr">
        <is>
          <t>Assume zero &amp; unless otherwise indicated by company management</t>
        </is>
      </c>
      <c r="D42" s="156" t="n"/>
      <c r="E42" s="156" t="n"/>
      <c r="F42" s="156" t="n"/>
      <c r="G42" s="156" t="n"/>
      <c r="H42" s="156" t="n"/>
      <c r="I42" s="156" t="n"/>
    </row>
    <row r="43">
      <c r="A43" s="155" t="inlineStr">
        <is>
          <t>Pretax Income</t>
        </is>
      </c>
      <c r="B43" s="155" t="n"/>
      <c r="C43" s="160" t="inlineStr">
        <is>
          <t>EBIT (Operating Income) + Nonoperating Income (Expense) - Interest Expense - Unusual Expense</t>
        </is>
      </c>
      <c r="D43" s="156" t="n"/>
      <c r="E43" s="156" t="n"/>
      <c r="F43" s="156" t="n"/>
      <c r="G43" s="156" t="n"/>
      <c r="H43" s="156" t="n"/>
      <c r="I43" s="156" t="n"/>
    </row>
    <row r="44">
      <c r="A44" s="158" t="inlineStr">
        <is>
          <t>Income Taxes</t>
        </is>
      </c>
      <c r="B44" s="158" t="n"/>
      <c r="C44" s="161" t="inlineStr">
        <is>
          <t xml:space="preserve">Last 5 yrs % of sales </t>
        </is>
      </c>
      <c r="D44" s="156" t="n"/>
      <c r="E44" s="156" t="n"/>
      <c r="F44" s="156" t="n"/>
      <c r="G44" s="156" t="n"/>
      <c r="H44" s="156" t="n"/>
      <c r="I44" s="156" t="n"/>
    </row>
    <row r="45">
      <c r="A45" s="158" t="inlineStr">
        <is>
          <t>Minority Interest Expense</t>
        </is>
      </c>
      <c r="B45" s="158" t="n"/>
      <c r="C45" s="161" t="inlineStr">
        <is>
          <t>Same as last reported</t>
        </is>
      </c>
      <c r="D45" s="156" t="n"/>
      <c r="E45" s="156" t="n"/>
      <c r="F45" s="156" t="n"/>
      <c r="G45" s="156" t="n"/>
      <c r="H45" s="156" t="n"/>
      <c r="I45" s="156" t="n"/>
    </row>
    <row r="46">
      <c r="A46" s="155" t="inlineStr">
        <is>
          <t>Net Income</t>
        </is>
      </c>
      <c r="B46" s="155" t="n"/>
      <c r="C46" s="160" t="inlineStr">
        <is>
          <t>Pretax Income - Income Taxes - Minority Interest Expense</t>
        </is>
      </c>
      <c r="D46" s="156" t="n"/>
      <c r="E46" s="156" t="n"/>
      <c r="F46" s="156" t="n"/>
      <c r="G46" s="156" t="n"/>
      <c r="H46" s="156" t="n"/>
      <c r="I46" s="156" t="n"/>
    </row>
    <row r="47">
      <c r="A47" s="158" t="inlineStr">
        <is>
          <t>Preferred Dividends</t>
        </is>
      </c>
      <c r="B47" s="158" t="n"/>
      <c r="C47" s="161" t="inlineStr">
        <is>
          <t>Same as last reported</t>
        </is>
      </c>
      <c r="D47" s="156" t="n"/>
      <c r="E47" s="156" t="n"/>
      <c r="F47" s="156" t="n"/>
      <c r="G47" s="156" t="n"/>
      <c r="H47" s="156" t="n"/>
      <c r="I47" s="156" t="n"/>
    </row>
    <row r="48">
      <c r="A48" s="155" t="inlineStr">
        <is>
          <t>Net Income available to Common</t>
        </is>
      </c>
      <c r="B48" s="155" t="n"/>
      <c r="C48" s="160" t="inlineStr">
        <is>
          <t>Net Income - Preferred Dividends</t>
        </is>
      </c>
      <c r="D48" s="156" t="n"/>
      <c r="E48" s="156" t="n"/>
      <c r="F48" s="156" t="n"/>
      <c r="G48" s="156" t="n"/>
      <c r="H48" s="156" t="n"/>
      <c r="I48" s="156" t="n"/>
    </row>
    <row r="49">
      <c r="A49" s="156" t="n"/>
      <c r="B49" s="156" t="n"/>
      <c r="C49" s="161" t="n"/>
      <c r="D49" s="156" t="n"/>
      <c r="E49" s="156" t="n"/>
      <c r="F49" s="156" t="n"/>
      <c r="G49" s="156" t="n"/>
      <c r="H49" s="156" t="n"/>
      <c r="I49" s="156" t="n"/>
    </row>
    <row r="50">
      <c r="A50" s="159" t="inlineStr">
        <is>
          <t>Basic Shares Outstanding</t>
        </is>
      </c>
      <c r="B50" s="159" t="n"/>
      <c r="C50" s="161" t="inlineStr">
        <is>
          <t>Same as last reported</t>
        </is>
      </c>
      <c r="D50" s="156" t="n"/>
      <c r="E50" s="156" t="n"/>
      <c r="F50" s="156" t="n"/>
      <c r="G50" s="156" t="n"/>
      <c r="H50" s="156" t="n"/>
      <c r="I50" s="156" t="n"/>
    </row>
    <row r="51">
      <c r="A51" s="159" t="inlineStr">
        <is>
          <t>Diluted Shares Outstanding</t>
        </is>
      </c>
      <c r="B51" s="159" t="n"/>
      <c r="C51" s="161" t="inlineStr">
        <is>
          <t>Same as last reported</t>
        </is>
      </c>
      <c r="D51" s="156" t="n"/>
      <c r="E51" s="156" t="n"/>
      <c r="F51" s="156" t="n"/>
      <c r="G51" s="156" t="n"/>
      <c r="H51" s="156" t="n"/>
      <c r="I51" s="156" t="n"/>
    </row>
    <row r="52">
      <c r="A52" s="37" t="n"/>
      <c r="B52" s="37" t="n"/>
      <c r="C52" s="31" t="n"/>
    </row>
    <row r="53" ht="14" customHeight="1" thickBot="1">
      <c r="A53" s="24" t="n"/>
      <c r="B53" s="24" t="n"/>
      <c r="C53" s="210" t="inlineStr">
        <is>
          <t>% of Sales</t>
        </is>
      </c>
      <c r="D53" s="236" t="n"/>
      <c r="E53" s="236" t="n"/>
      <c r="F53" s="236" t="n"/>
      <c r="G53" s="236" t="n"/>
      <c r="H53" s="236" t="n"/>
    </row>
    <row r="54" ht="58.25" customHeight="1" thickBot="1">
      <c r="C54" s="201" t="inlineStr">
        <is>
          <t>Last Reported Fiscal Year (-4 yr)</t>
        </is>
      </c>
      <c r="D54" s="199" t="inlineStr">
        <is>
          <t>Last Reported Fiscal Year (-3 yr)</t>
        </is>
      </c>
      <c r="E54" s="199" t="inlineStr">
        <is>
          <t>Last Reported Fiscal Year (-2 yr)</t>
        </is>
      </c>
      <c r="F54" s="199" t="inlineStr">
        <is>
          <t>Last Reported Fiscal Year (-1 yr)</t>
        </is>
      </c>
      <c r="G54" s="199" t="inlineStr">
        <is>
          <t>Last Reported Fiscal Year</t>
        </is>
      </c>
      <c r="H54" s="202" t="inlineStr">
        <is>
          <t>Average</t>
        </is>
      </c>
    </row>
    <row r="55">
      <c r="A55" s="23" t="inlineStr">
        <is>
          <t>Cost of Good Sold (Excluding D&amp;A)</t>
        </is>
      </c>
      <c r="B55" s="23" t="n"/>
      <c r="C55" s="237">
        <f>C6/C$5</f>
        <v/>
      </c>
      <c r="D55" s="238">
        <f>D6/D$5</f>
        <v/>
      </c>
      <c r="E55" s="238">
        <f>E6/E$5</f>
        <v/>
      </c>
      <c r="F55" s="238">
        <f>F6/F$5</f>
        <v/>
      </c>
      <c r="G55" s="238">
        <f>G6/G$5</f>
        <v/>
      </c>
      <c r="H55" s="239">
        <f>AVERAGE(C55:G55)</f>
        <v/>
      </c>
    </row>
    <row r="56">
      <c r="A56" s="24" t="inlineStr">
        <is>
          <t>SG&amp;A Expense</t>
        </is>
      </c>
      <c r="B56" s="24" t="n"/>
      <c r="C56" s="237">
        <f>C8/C$5</f>
        <v/>
      </c>
      <c r="D56" s="238">
        <f>D8/D$5</f>
        <v/>
      </c>
      <c r="E56" s="238">
        <f>E8/E$5</f>
        <v/>
      </c>
      <c r="F56" s="238">
        <f>F8/F$5</f>
        <v/>
      </c>
      <c r="G56" s="238">
        <f>G8/G$5</f>
        <v/>
      </c>
      <c r="H56" s="239">
        <f>AVERAGE(C56:G56)</f>
        <v/>
      </c>
    </row>
    <row r="57">
      <c r="A57" s="24" t="inlineStr">
        <is>
          <t>Other Operating Expense</t>
        </is>
      </c>
      <c r="B57" s="24" t="n"/>
      <c r="C57" s="237">
        <f>C9/C$5</f>
        <v/>
      </c>
      <c r="D57" s="238">
        <f>D9/D$5</f>
        <v/>
      </c>
      <c r="E57" s="238">
        <f>E9/E$5</f>
        <v/>
      </c>
      <c r="F57" s="238">
        <f>F9/F$5</f>
        <v/>
      </c>
      <c r="G57" s="238">
        <f>G9/G$5</f>
        <v/>
      </c>
      <c r="H57" s="239">
        <f>AVERAGE(C57:G57)</f>
        <v/>
      </c>
    </row>
    <row r="58">
      <c r="A58" s="24" t="inlineStr">
        <is>
          <t>Depreciation &amp; Amortization</t>
        </is>
      </c>
      <c r="B58" s="24" t="n"/>
      <c r="C58" s="237">
        <f>C11/C$5</f>
        <v/>
      </c>
      <c r="D58" s="238">
        <f>D11/D$5</f>
        <v/>
      </c>
      <c r="E58" s="238">
        <f>E11/E$5</f>
        <v/>
      </c>
      <c r="F58" s="238">
        <f>F11/F$5</f>
        <v/>
      </c>
      <c r="G58" s="238">
        <f>G11/G$5</f>
        <v/>
      </c>
      <c r="H58" s="239">
        <f>AVERAGE(C58:G58)</f>
        <v/>
      </c>
    </row>
    <row r="59">
      <c r="A59" s="24" t="inlineStr">
        <is>
          <t>Nonoperating Income (Expense)</t>
        </is>
      </c>
      <c r="B59" s="24" t="n"/>
      <c r="C59" s="237">
        <f>C13/C$5</f>
        <v/>
      </c>
      <c r="D59" s="238">
        <f>D13/D$5</f>
        <v/>
      </c>
      <c r="E59" s="238">
        <f>E13/E$5</f>
        <v/>
      </c>
      <c r="F59" s="238">
        <f>F13/F$5</f>
        <v/>
      </c>
      <c r="G59" s="238">
        <f>G13/G$5</f>
        <v/>
      </c>
      <c r="H59" s="239">
        <f>AVERAGE(C59:G59)</f>
        <v/>
      </c>
    </row>
    <row r="60">
      <c r="A60" s="24" t="inlineStr">
        <is>
          <t>Unusual Expense</t>
        </is>
      </c>
      <c r="B60" s="24" t="n"/>
      <c r="C60" s="237">
        <f>C15/C$5</f>
        <v/>
      </c>
      <c r="D60" s="238">
        <f>D15/D$5</f>
        <v/>
      </c>
      <c r="E60" s="238">
        <f>E15/E$5</f>
        <v/>
      </c>
      <c r="F60" s="238">
        <f>F15/F$5</f>
        <v/>
      </c>
      <c r="G60" s="238">
        <f>G15/G$5</f>
        <v/>
      </c>
      <c r="H60" s="239">
        <f>AVERAGE(C60:G60)</f>
        <v/>
      </c>
    </row>
    <row r="61">
      <c r="A61" s="24" t="inlineStr">
        <is>
          <t>Income Taxes</t>
        </is>
      </c>
      <c r="B61" s="24" t="n"/>
      <c r="C61" s="237">
        <f>C17/C$5</f>
        <v/>
      </c>
      <c r="D61" s="238">
        <f>D17/D$5</f>
        <v/>
      </c>
      <c r="E61" s="238">
        <f>E17/E$5</f>
        <v/>
      </c>
      <c r="F61" s="238">
        <f>F17/F$5</f>
        <v/>
      </c>
      <c r="G61" s="238">
        <f>G17/G$5</f>
        <v/>
      </c>
      <c r="H61" s="239">
        <f>AVERAGE(C61:G61)</f>
        <v/>
      </c>
      <c r="J61" s="240" t="n"/>
    </row>
    <row r="62" ht="14" customHeight="1" thickBot="1">
      <c r="A62" s="24" t="inlineStr">
        <is>
          <t>Minority Interest Expense</t>
        </is>
      </c>
      <c r="B62" s="24" t="n"/>
      <c r="C62" s="241">
        <f>C18/C$5</f>
        <v/>
      </c>
      <c r="D62" s="242">
        <f>D18/D$5</f>
        <v/>
      </c>
      <c r="E62" s="242">
        <f>E18/E$5</f>
        <v/>
      </c>
      <c r="F62" s="242">
        <f>F18/F$5</f>
        <v/>
      </c>
      <c r="G62" s="242">
        <f>G18/G$5</f>
        <v/>
      </c>
      <c r="H62" s="243">
        <f>AVERAGE(C62:G62)</f>
        <v/>
      </c>
    </row>
    <row r="63">
      <c r="A63" s="1" t="n"/>
      <c r="B63" s="1" t="n"/>
    </row>
    <row r="64">
      <c r="A64" s="5" t="n"/>
      <c r="B64" s="5" t="n"/>
    </row>
  </sheetData>
  <mergeCells count="2">
    <mergeCell ref="C31:J31"/>
    <mergeCell ref="C53:H53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8">
    <outlinePr summaryBelow="1" summaryRight="1"/>
    <pageSetUpPr/>
  </sheetPr>
  <dimension ref="A1:L108"/>
  <sheetViews>
    <sheetView showGridLines="0" zoomScaleNormal="100" workbookViewId="0">
      <selection activeCell="A1" sqref="A1"/>
    </sheetView>
  </sheetViews>
  <sheetFormatPr baseColWidth="10" defaultColWidth="8.83203125" defaultRowHeight="13"/>
  <cols>
    <col width="50.1640625" customWidth="1" min="1" max="1"/>
    <col width="10.6640625" customWidth="1" min="2" max="9"/>
    <col width="3" customWidth="1" min="12" max="12"/>
  </cols>
  <sheetData>
    <row r="1" ht="18" customHeight="1">
      <c r="A1" s="231" t="inlineStr">
        <is>
          <t>Lululemon Athletica Inc. (LULU)</t>
        </is>
      </c>
    </row>
    <row r="2">
      <c r="A2" s="8" t="inlineStr">
        <is>
          <t>Balance Sheet</t>
        </is>
      </c>
    </row>
    <row r="3" ht="30" customHeight="1">
      <c r="B3" s="232" t="inlineStr">
        <is>
          <t>FY 2020
(2/2/2020)</t>
        </is>
      </c>
      <c r="C3" s="232" t="inlineStr">
        <is>
          <t>FY 2021
(1/31/2021)</t>
        </is>
      </c>
      <c r="D3" s="232" t="inlineStr">
        <is>
          <t>FY 2022
(1/30/2022)</t>
        </is>
      </c>
      <c r="E3" s="232" t="inlineStr">
        <is>
          <t>FY 2023
(1/29/2023)</t>
        </is>
      </c>
      <c r="F3" s="232" t="inlineStr">
        <is>
          <t>FY 2024
(1/28/2024)</t>
        </is>
      </c>
      <c r="G3" s="232" t="inlineStr">
        <is>
          <t>FY 2025
(2/2/2025)</t>
        </is>
      </c>
      <c r="H3" s="233" t="inlineStr">
        <is>
          <t>FY 2026E</t>
        </is>
      </c>
      <c r="I3" s="233" t="inlineStr">
        <is>
          <t>FY 2027E</t>
        </is>
      </c>
    </row>
    <row r="5">
      <c r="A5" s="17" t="inlineStr">
        <is>
          <t>Assets</t>
        </is>
      </c>
      <c r="B5" s="17" t="n"/>
    </row>
    <row r="6">
      <c r="A6" s="18" t="inlineStr">
        <is>
          <t>Cash &amp; Equivalents (Cash &amp; ST Investments)</t>
        </is>
      </c>
      <c r="B6" s="34" t="n">
        <v>70483</v>
      </c>
      <c r="C6" s="34" t="n">
        <v>48129</v>
      </c>
      <c r="D6" s="34" t="n">
        <v>43967</v>
      </c>
      <c r="E6" s="34" t="n">
        <v>31124</v>
      </c>
      <c r="F6" s="34" t="n">
        <v>45699</v>
      </c>
      <c r="G6" s="34" t="n">
        <v>43949</v>
      </c>
      <c r="H6" s="183">
        <f>G6+CashFlow!H41</f>
        <v/>
      </c>
      <c r="I6" s="183">
        <f>H6+CashFlow!I41</f>
        <v/>
      </c>
    </row>
    <row r="7">
      <c r="A7" s="44" t="inlineStr">
        <is>
          <t>Accounts Receivable</t>
        </is>
      </c>
      <c r="B7" s="34" t="n">
        <v>45856</v>
      </c>
      <c r="C7" s="34" t="n">
        <v>42262</v>
      </c>
      <c r="D7" s="34" t="n">
        <v>40846</v>
      </c>
      <c r="E7" s="34" t="n">
        <v>29487</v>
      </c>
      <c r="F7" s="34" t="n">
        <v>27670</v>
      </c>
      <c r="G7" s="34" t="n">
        <v>27051</v>
      </c>
      <c r="H7" s="183">
        <f>H49*IncomeStatement!H5/365</f>
        <v/>
      </c>
      <c r="I7" s="183">
        <f>I49*IncomeStatement!I5/365</f>
        <v/>
      </c>
      <c r="K7" s="244" t="n"/>
    </row>
    <row r="8">
      <c r="A8" s="44" t="inlineStr">
        <is>
          <t>Inventories</t>
        </is>
      </c>
      <c r="B8" s="34" t="n">
        <v>22515</v>
      </c>
      <c r="C8" s="34" t="n">
        <v>22354</v>
      </c>
      <c r="D8" s="34" t="n">
        <v>19419</v>
      </c>
      <c r="E8" s="34" t="n">
        <v>13803</v>
      </c>
      <c r="F8" s="34" t="n">
        <v>17215</v>
      </c>
      <c r="G8" s="34" t="n">
        <v>15890</v>
      </c>
      <c r="H8" s="183">
        <f>H50*(IncomeStatement!H6+IncomeStatement!H11)/365</f>
        <v/>
      </c>
      <c r="I8" s="183">
        <f>I50*(IncomeStatement!I6+IncomeStatement!I11)/365</f>
        <v/>
      </c>
    </row>
    <row r="9" ht="14" customHeight="1" thickBot="1">
      <c r="A9" s="18" t="inlineStr">
        <is>
          <t>Other Current Assets</t>
        </is>
      </c>
      <c r="B9" s="34" t="n">
        <v>0</v>
      </c>
      <c r="C9" s="34" t="n">
        <v>0</v>
      </c>
      <c r="D9" s="34" t="n">
        <v>0</v>
      </c>
      <c r="E9" s="34" t="n">
        <v>0</v>
      </c>
      <c r="F9" s="34" t="n">
        <v>12512</v>
      </c>
      <c r="G9" s="34" t="n">
        <v>1522</v>
      </c>
      <c r="H9" s="183">
        <f>G9</f>
        <v/>
      </c>
      <c r="I9" s="183">
        <f>H9</f>
        <v/>
      </c>
    </row>
    <row r="10">
      <c r="A10" s="19" t="inlineStr">
        <is>
          <t>Total Current Assets</t>
        </is>
      </c>
      <c r="B10" s="49" t="n">
        <v>138854</v>
      </c>
      <c r="C10" s="49" t="n">
        <v>112745</v>
      </c>
      <c r="D10" s="49" t="n">
        <v>104232</v>
      </c>
      <c r="E10" s="49" t="n">
        <v>74414</v>
      </c>
      <c r="F10" s="49" t="n">
        <v>103096</v>
      </c>
      <c r="G10" s="49" t="n">
        <v>88412</v>
      </c>
      <c r="H10" s="181">
        <f>SUM(H6:H9)</f>
        <v/>
      </c>
      <c r="I10" s="181">
        <f>SUM(I6:I9)</f>
        <v/>
      </c>
    </row>
    <row r="11">
      <c r="A11" s="19" t="n"/>
      <c r="B11" s="56" t="n"/>
      <c r="C11" s="56" t="n"/>
      <c r="D11" s="56" t="n"/>
      <c r="E11" s="56" t="n"/>
      <c r="F11" s="56" t="n"/>
      <c r="G11" s="56" t="n"/>
      <c r="H11" s="183" t="n"/>
      <c r="I11" s="183" t="n"/>
    </row>
    <row r="12">
      <c r="A12" s="44" t="inlineStr">
        <is>
          <t>Gross PP&amp;E</t>
        </is>
      </c>
      <c r="B12" s="56" t="n">
        <v>90022</v>
      </c>
      <c r="C12" s="56" t="n">
        <v>85875</v>
      </c>
      <c r="D12" s="56" t="n">
        <v>89608</v>
      </c>
      <c r="E12" s="56" t="n">
        <v>75618</v>
      </c>
      <c r="F12" s="56" t="n">
        <v>78194</v>
      </c>
      <c r="G12" s="56" t="n">
        <v>78914</v>
      </c>
      <c r="H12" s="183">
        <f>G12-CashFlow!H21</f>
        <v/>
      </c>
      <c r="I12" s="183">
        <f>H12-CashFlow!I21</f>
        <v/>
      </c>
    </row>
    <row r="13" ht="14" customHeight="1" thickBot="1">
      <c r="A13" s="18" t="inlineStr">
        <is>
          <t>Accumulated Depreciation</t>
        </is>
      </c>
      <c r="B13" s="56" t="n">
        <v>35927</v>
      </c>
      <c r="C13" s="56" t="n">
        <v>35357</v>
      </c>
      <c r="D13" s="56" t="n">
        <v>35734</v>
      </c>
      <c r="E13" s="56" t="n">
        <v>32007</v>
      </c>
      <c r="F13" s="56" t="n">
        <v>32315</v>
      </c>
      <c r="G13" s="56" t="n">
        <v>34252</v>
      </c>
      <c r="H13" s="183">
        <f>G13+IncomeStatement!H11</f>
        <v/>
      </c>
      <c r="I13" s="183">
        <f>H13+IncomeStatement!I11</f>
        <v/>
      </c>
    </row>
    <row r="14">
      <c r="A14" s="18" t="inlineStr">
        <is>
          <t>Net PP&amp;E</t>
        </is>
      </c>
      <c r="B14" s="49" t="n">
        <v>54095</v>
      </c>
      <c r="C14" s="49" t="n">
        <v>50518</v>
      </c>
      <c r="D14" s="49" t="n">
        <v>53874</v>
      </c>
      <c r="E14" s="49" t="n">
        <v>43611</v>
      </c>
      <c r="F14" s="49" t="n">
        <v>45879</v>
      </c>
      <c r="G14" s="49" t="n">
        <v>44662</v>
      </c>
      <c r="H14" s="181">
        <f>H12-H13</f>
        <v/>
      </c>
      <c r="I14" s="181">
        <f>I12-I13</f>
        <v/>
      </c>
    </row>
    <row r="15">
      <c r="A15" s="18" t="inlineStr">
        <is>
          <t>Total Investments and Advances</t>
        </is>
      </c>
      <c r="B15" s="56" t="n">
        <v>56337</v>
      </c>
      <c r="C15" s="56" t="n">
        <v>57109</v>
      </c>
      <c r="D15" s="56" t="n">
        <v>38696</v>
      </c>
      <c r="E15" s="56" t="n">
        <v>33508</v>
      </c>
      <c r="F15" s="56" t="n">
        <v>44874</v>
      </c>
      <c r="G15" s="56" t="n">
        <v>49575</v>
      </c>
      <c r="H15" s="183">
        <f>G15</f>
        <v/>
      </c>
      <c r="I15" s="183">
        <f>G15</f>
        <v/>
      </c>
    </row>
    <row r="16">
      <c r="A16" s="18" t="inlineStr">
        <is>
          <t>Long-Term Note Receivable</t>
        </is>
      </c>
      <c r="B16" s="56" t="n">
        <v>23466</v>
      </c>
      <c r="C16" s="56" t="n">
        <v>27595</v>
      </c>
      <c r="D16" s="56" t="n">
        <v>13775</v>
      </c>
      <c r="E16" s="56" t="n">
        <v>10880</v>
      </c>
      <c r="F16" s="56" t="n">
        <v>8979</v>
      </c>
      <c r="G16" s="56" t="n">
        <v>8862</v>
      </c>
      <c r="H16" s="183">
        <f>G16</f>
        <v/>
      </c>
      <c r="I16" s="183">
        <f>G16</f>
        <v/>
      </c>
      <c r="K16" s="244" t="n"/>
    </row>
    <row r="17">
      <c r="A17" s="18" t="inlineStr">
        <is>
          <t>Intangibles</t>
        </is>
      </c>
      <c r="B17" s="34" t="n">
        <v>83323</v>
      </c>
      <c r="C17" s="34" t="n">
        <v>86874</v>
      </c>
      <c r="D17" s="34" t="n">
        <v>104241</v>
      </c>
      <c r="E17" s="34" t="n">
        <v>46152</v>
      </c>
      <c r="F17" s="34" t="n">
        <v>37387</v>
      </c>
      <c r="G17" s="34" t="n">
        <v>35298</v>
      </c>
      <c r="H17" s="183">
        <f>G17</f>
        <v/>
      </c>
      <c r="I17" s="183">
        <f>G17</f>
        <v/>
      </c>
    </row>
    <row r="18">
      <c r="A18" s="18" t="inlineStr">
        <is>
          <t>Deferred Tax Assets</t>
        </is>
      </c>
      <c r="B18" s="34" t="n">
        <v>25182</v>
      </c>
      <c r="C18" s="34" t="n">
        <v>26199</v>
      </c>
      <c r="D18" s="34" t="n">
        <v>22189</v>
      </c>
      <c r="E18" s="34" t="n">
        <v>20693</v>
      </c>
      <c r="F18" s="34" t="n">
        <v>11388</v>
      </c>
      <c r="G18" s="34" t="n">
        <v>13679</v>
      </c>
      <c r="H18" s="183">
        <f>G18</f>
        <v/>
      </c>
      <c r="I18" s="183">
        <f>G18</f>
        <v/>
      </c>
    </row>
    <row r="19" ht="14" customHeight="1" thickBot="1">
      <c r="A19" s="18" t="inlineStr">
        <is>
          <t>Other Assets</t>
        </is>
      </c>
      <c r="B19" s="34" t="n">
        <v>133891</v>
      </c>
      <c r="C19" s="34" t="n">
        <v>28509</v>
      </c>
      <c r="D19" s="34" t="n">
        <v>45608</v>
      </c>
      <c r="E19" s="34" t="n">
        <v>90390</v>
      </c>
      <c r="F19" s="34" t="n">
        <v>15073</v>
      </c>
      <c r="G19" s="34" t="n">
        <v>14562</v>
      </c>
      <c r="H19" s="183">
        <f>G19</f>
        <v/>
      </c>
      <c r="I19" s="183">
        <f>G19</f>
        <v/>
      </c>
    </row>
    <row r="20">
      <c r="A20" s="19" t="inlineStr">
        <is>
          <t>Total Non-Current Assets</t>
        </is>
      </c>
      <c r="B20" s="49" t="n">
        <v>376294</v>
      </c>
      <c r="C20" s="49" t="n">
        <v>276804</v>
      </c>
      <c r="D20" s="49" t="n">
        <v>278383</v>
      </c>
      <c r="E20" s="49" t="n">
        <v>245234</v>
      </c>
      <c r="F20" s="49" t="n">
        <v>163580</v>
      </c>
      <c r="G20" s="49" t="n">
        <v>166638</v>
      </c>
      <c r="H20" s="181">
        <f>SUM(H14:H19)</f>
        <v/>
      </c>
      <c r="I20" s="181">
        <f>SUM(I14:I19)</f>
        <v/>
      </c>
    </row>
    <row r="21" ht="14" customHeight="1" thickBot="1">
      <c r="A21" s="19" t="n"/>
      <c r="B21" s="51" t="n"/>
      <c r="C21" s="51" t="n"/>
      <c r="D21" s="51" t="n"/>
      <c r="E21" s="51" t="n"/>
      <c r="F21" s="51" t="n"/>
      <c r="G21" s="51" t="n"/>
      <c r="H21" s="176" t="n"/>
      <c r="I21" s="176" t="n"/>
    </row>
    <row r="22">
      <c r="A22" s="19" t="inlineStr">
        <is>
          <t>Total Assets</t>
        </is>
      </c>
      <c r="B22" s="49" t="n">
        <v>515148</v>
      </c>
      <c r="C22" s="49" t="n">
        <v>389549</v>
      </c>
      <c r="D22" s="49" t="n">
        <v>382615</v>
      </c>
      <c r="E22" s="49" t="n">
        <v>319648</v>
      </c>
      <c r="F22" s="49" t="n">
        <v>266676</v>
      </c>
      <c r="G22" s="49" t="n">
        <v>255050</v>
      </c>
      <c r="H22" s="181">
        <f>H20+H10</f>
        <v/>
      </c>
      <c r="I22" s="181">
        <f>I20+I10</f>
        <v/>
      </c>
    </row>
    <row r="23">
      <c r="A23" s="16" t="n"/>
      <c r="B23" s="52" t="n"/>
      <c r="C23" s="34" t="n"/>
      <c r="D23" s="34" t="n"/>
      <c r="E23" s="34" t="n"/>
      <c r="F23" s="34" t="n"/>
      <c r="G23" s="34" t="n"/>
      <c r="H23" s="183" t="n"/>
      <c r="I23" s="183" t="n"/>
    </row>
    <row r="24">
      <c r="A24" s="17" t="inlineStr">
        <is>
          <t>Liabilities &amp; Shareholders' Equity</t>
        </is>
      </c>
      <c r="B24" s="53" t="n"/>
      <c r="C24" s="53" t="n"/>
      <c r="D24" s="53" t="n"/>
      <c r="E24" s="53" t="n"/>
      <c r="F24" s="53" t="n"/>
      <c r="G24" s="53" t="n"/>
      <c r="H24" s="182" t="n"/>
      <c r="I24" s="182" t="n"/>
      <c r="J24" s="17" t="n"/>
      <c r="K24" s="17" t="n"/>
      <c r="L24" s="17" t="n"/>
    </row>
    <row r="25">
      <c r="A25" s="44" t="inlineStr">
        <is>
          <t>Short Term Debt</t>
        </is>
      </c>
      <c r="B25" s="34" t="n">
        <v>49860</v>
      </c>
      <c r="C25" s="34" t="n">
        <v>30714</v>
      </c>
      <c r="D25" s="34" t="n">
        <v>24036</v>
      </c>
      <c r="E25" s="34" t="n">
        <v>12776</v>
      </c>
      <c r="F25" s="34" t="n">
        <v>23641</v>
      </c>
      <c r="G25" s="34" t="n">
        <v>4778</v>
      </c>
      <c r="H25" s="183">
        <f>$G$25+CashFlow!H31</f>
        <v/>
      </c>
      <c r="I25" s="183">
        <f>$G$25+CashFlow!I31</f>
        <v/>
      </c>
    </row>
    <row r="26">
      <c r="A26" s="44" t="inlineStr">
        <is>
          <t>Accounts Payable</t>
        </is>
      </c>
      <c r="B26" s="34" t="n">
        <v>13680</v>
      </c>
      <c r="C26" s="34" t="n">
        <v>14435</v>
      </c>
      <c r="D26" s="34" t="n">
        <v>15172</v>
      </c>
      <c r="E26" s="34" t="n">
        <v>13826</v>
      </c>
      <c r="F26" s="34" t="n">
        <v>17357</v>
      </c>
      <c r="G26" s="34" t="n">
        <v>16476</v>
      </c>
      <c r="H26" s="183">
        <f>H51*IncomeStatement!H6/365</f>
        <v/>
      </c>
      <c r="I26" s="183">
        <f>I51*IncomeStatement!I6/365</f>
        <v/>
      </c>
    </row>
    <row r="27">
      <c r="A27" s="18" t="inlineStr">
        <is>
          <t>Income Tax Payable</t>
        </is>
      </c>
      <c r="B27" s="34" t="inlineStr">
        <is>
          <t>-</t>
        </is>
      </c>
      <c r="C27" s="34" t="inlineStr">
        <is>
          <t>-</t>
        </is>
      </c>
      <c r="D27" s="34" t="inlineStr">
        <is>
          <t>-</t>
        </is>
      </c>
      <c r="E27" s="34" t="n">
        <v>503</v>
      </c>
      <c r="F27" s="34" t="n">
        <v>429</v>
      </c>
      <c r="G27" s="34" t="n">
        <v>413</v>
      </c>
      <c r="H27" s="183">
        <f>G27</f>
        <v/>
      </c>
      <c r="I27" s="183">
        <f>G27</f>
        <v/>
      </c>
    </row>
    <row r="28" ht="14" customHeight="1" thickBot="1">
      <c r="A28" s="18" t="inlineStr">
        <is>
          <t>Other Current Liabilities</t>
        </is>
      </c>
      <c r="B28" s="34" t="n">
        <v>41540</v>
      </c>
      <c r="C28" s="34" t="n">
        <v>36431</v>
      </c>
      <c r="D28" s="34" t="n">
        <v>40088</v>
      </c>
      <c r="E28" s="34" t="n">
        <v>33346</v>
      </c>
      <c r="F28" s="34" t="n">
        <v>37439</v>
      </c>
      <c r="G28" s="34" t="n">
        <v>34402</v>
      </c>
      <c r="H28" s="183">
        <f>G28+CashFlow!H29</f>
        <v/>
      </c>
      <c r="I28" s="183">
        <f>H28+CashFlow!I29</f>
        <v/>
      </c>
    </row>
    <row r="29">
      <c r="A29" s="19" t="inlineStr">
        <is>
          <t>Total Current Liabilities</t>
        </is>
      </c>
      <c r="B29" s="49" t="n">
        <v>105080</v>
      </c>
      <c r="C29" s="49" t="n">
        <v>81580</v>
      </c>
      <c r="D29" s="49" t="n">
        <v>79296</v>
      </c>
      <c r="E29" s="49" t="n">
        <v>60451</v>
      </c>
      <c r="F29" s="49" t="n">
        <v>78866</v>
      </c>
      <c r="G29" s="49" t="n">
        <v>56069</v>
      </c>
      <c r="H29" s="181">
        <f>SUM(H25:H28)</f>
        <v/>
      </c>
      <c r="I29" s="181">
        <f>SUM(I25:I28)</f>
        <v/>
      </c>
    </row>
    <row r="30">
      <c r="A30" s="19" t="n"/>
      <c r="B30" s="56" t="n"/>
      <c r="C30" s="56" t="n"/>
      <c r="D30" s="56" t="n"/>
      <c r="E30" s="56" t="n"/>
      <c r="F30" s="56" t="n"/>
      <c r="G30" s="56" t="n"/>
      <c r="H30" s="183" t="n"/>
      <c r="I30" s="183" t="n"/>
    </row>
    <row r="31">
      <c r="A31" s="18" t="inlineStr">
        <is>
          <t>Long Term Debt</t>
        </is>
      </c>
      <c r="B31" s="34" t="n">
        <v>147742</v>
      </c>
      <c r="C31" s="34" t="n">
        <v>105497</v>
      </c>
      <c r="D31" s="34" t="n">
        <v>110555</v>
      </c>
      <c r="E31" s="34" t="n">
        <v>90824</v>
      </c>
      <c r="F31" s="34" t="n">
        <v>70848</v>
      </c>
      <c r="G31" s="34" t="n">
        <v>73642</v>
      </c>
      <c r="H31" s="183">
        <f>G31+CashFlow!H30</f>
        <v/>
      </c>
      <c r="I31" s="183">
        <f>H31+CashFlow!I30</f>
        <v/>
      </c>
    </row>
    <row r="32">
      <c r="A32" s="18" t="inlineStr">
        <is>
          <t>Provision for Risks &amp; Charges</t>
        </is>
      </c>
      <c r="B32" s="34" t="n">
        <v>66179</v>
      </c>
      <c r="C32" s="34" t="n">
        <v>69866</v>
      </c>
      <c r="D32" s="34" t="n">
        <v>79766</v>
      </c>
      <c r="E32" s="34" t="n">
        <v>69458</v>
      </c>
      <c r="F32" s="34" t="n">
        <v>74460</v>
      </c>
      <c r="G32" s="34" t="n">
        <v>75010</v>
      </c>
      <c r="H32" s="183">
        <f>G32</f>
        <v/>
      </c>
      <c r="I32" s="183">
        <f>G32</f>
        <v/>
      </c>
    </row>
    <row r="33">
      <c r="A33" s="18" t="inlineStr">
        <is>
          <t>Deferred Tax Liabilities</t>
        </is>
      </c>
      <c r="B33" s="34" t="n">
        <v>22077</v>
      </c>
      <c r="C33" s="34" t="n">
        <v>24366</v>
      </c>
      <c r="D33" s="34" t="n">
        <v>13370</v>
      </c>
      <c r="E33" s="34" t="n">
        <v>8576</v>
      </c>
      <c r="F33" s="34" t="n">
        <v>1499</v>
      </c>
      <c r="G33" s="34" t="n">
        <v>1598</v>
      </c>
      <c r="H33" s="183">
        <f>G33</f>
        <v/>
      </c>
      <c r="I33" s="183">
        <f>G33</f>
        <v/>
      </c>
    </row>
    <row r="34" ht="14" customHeight="1" thickBot="1">
      <c r="A34" s="18" t="inlineStr">
        <is>
          <t>Other Liabilities</t>
        </is>
      </c>
      <c r="B34" s="34" t="n">
        <v>70960</v>
      </c>
      <c r="C34" s="34" t="n">
        <v>27724</v>
      </c>
      <c r="D34" s="34" t="n">
        <v>22739</v>
      </c>
      <c r="E34" s="34" t="n">
        <v>38480</v>
      </c>
      <c r="F34" s="34" t="n">
        <v>10703</v>
      </c>
      <c r="G34" s="34" t="n">
        <v>11170</v>
      </c>
      <c r="H34" s="183">
        <f>G34</f>
        <v/>
      </c>
      <c r="I34" s="183">
        <f>G34</f>
        <v/>
      </c>
    </row>
    <row r="35">
      <c r="A35" s="19" t="inlineStr">
        <is>
          <t>Total Non-current Liabilities</t>
        </is>
      </c>
      <c r="B35" s="49" t="n">
        <v>306958</v>
      </c>
      <c r="C35" s="49" t="n">
        <v>227453</v>
      </c>
      <c r="D35" s="49" t="n">
        <v>226430</v>
      </c>
      <c r="E35" s="49" t="n">
        <v>207338</v>
      </c>
      <c r="F35" s="49" t="n">
        <v>157510</v>
      </c>
      <c r="G35" s="49" t="n">
        <v>161420</v>
      </c>
      <c r="H35" s="181">
        <f>SUM(H31:H34)</f>
        <v/>
      </c>
      <c r="I35" s="181">
        <f>SUM(I31:I34)</f>
        <v/>
      </c>
    </row>
    <row r="36" ht="14" customHeight="1" thickBot="1">
      <c r="A36" s="19" t="n"/>
      <c r="B36" s="54" t="n"/>
      <c r="C36" s="34" t="n"/>
      <c r="D36" s="34" t="n"/>
      <c r="E36" s="34" t="n"/>
      <c r="F36" s="34" t="n"/>
      <c r="G36" s="56" t="n"/>
      <c r="H36" s="183" t="n"/>
      <c r="I36" s="183" t="n"/>
    </row>
    <row r="37">
      <c r="A37" s="245" t="inlineStr">
        <is>
          <t>Total Liabilities &amp; Equity</t>
        </is>
      </c>
      <c r="B37" s="49">
        <f>B31+B36</f>
        <v/>
      </c>
      <c r="C37" s="49">
        <f>C31+C36</f>
        <v/>
      </c>
      <c r="D37" s="49">
        <f>D31+D36</f>
        <v/>
      </c>
      <c r="E37" s="49">
        <f>E31+E36</f>
        <v/>
      </c>
      <c r="F37" s="49">
        <f>F31+F36</f>
        <v/>
      </c>
      <c r="G37" s="49">
        <f>G31+G36</f>
        <v/>
      </c>
      <c r="H37" s="181">
        <f>H31+H36</f>
        <v/>
      </c>
      <c r="I37" s="181">
        <f>I31+I36</f>
        <v/>
      </c>
    </row>
    <row r="38">
      <c r="A38" s="246" t="inlineStr">
        <is>
          <t>CHECK: Assets - (Liab+Equity)</t>
        </is>
      </c>
      <c r="B38" s="56">
        <f>B19-B37</f>
        <v/>
      </c>
      <c r="C38" s="56">
        <f>C19-C37</f>
        <v/>
      </c>
      <c r="D38" s="56">
        <f>D19-D37</f>
        <v/>
      </c>
      <c r="E38" s="56">
        <f>E19-E37</f>
        <v/>
      </c>
      <c r="F38" s="56">
        <f>F19-F37</f>
        <v/>
      </c>
      <c r="G38" s="56">
        <f>G19-G37</f>
        <v/>
      </c>
      <c r="H38" s="183">
        <f>H19-H37</f>
        <v/>
      </c>
      <c r="I38" s="183">
        <f>I19-I37</f>
        <v/>
      </c>
    </row>
    <row r="39">
      <c r="A39" s="18" t="inlineStr">
        <is>
          <t>Preferred Stock</t>
        </is>
      </c>
      <c r="B39" s="34" t="n">
        <v>6</v>
      </c>
      <c r="C39" s="34" t="n">
        <v>6</v>
      </c>
      <c r="D39" s="34" t="n">
        <v>6</v>
      </c>
      <c r="E39" s="34" t="n">
        <v>6</v>
      </c>
      <c r="F39" s="34" t="n">
        <v>6</v>
      </c>
      <c r="G39" s="34" t="n">
        <v>6</v>
      </c>
      <c r="H39" s="183">
        <f>G39</f>
        <v/>
      </c>
      <c r="I39" s="183">
        <f>G39</f>
        <v/>
      </c>
    </row>
    <row r="40" ht="14" customHeight="1" thickBot="1">
      <c r="A40" s="18" t="inlineStr">
        <is>
          <t>Stockholder's Equity</t>
        </is>
      </c>
      <c r="B40" s="34" t="n">
        <v>98268</v>
      </c>
      <c r="C40" s="34" t="n">
        <v>75822</v>
      </c>
      <c r="D40" s="34" t="n">
        <v>56024</v>
      </c>
      <c r="E40" s="34" t="n">
        <v>30975</v>
      </c>
      <c r="F40" s="34" t="n">
        <v>28310</v>
      </c>
      <c r="G40" s="34" t="n">
        <v>35546</v>
      </c>
      <c r="H40" s="183">
        <f>G40+IncomeStatement!H21+CashFlow!H35</f>
        <v/>
      </c>
      <c r="I40" s="183">
        <f>H40+IncomeStatement!I21+CashFlow!I35</f>
        <v/>
      </c>
    </row>
    <row r="41">
      <c r="A41" s="19" t="inlineStr">
        <is>
          <t>Total Shareholders' Equity</t>
        </is>
      </c>
      <c r="B41" s="49" t="n">
        <v>98274</v>
      </c>
      <c r="C41" s="49" t="n">
        <v>75828</v>
      </c>
      <c r="D41" s="49" t="n">
        <v>56030</v>
      </c>
      <c r="E41" s="49" t="n">
        <v>30981</v>
      </c>
      <c r="F41" s="49" t="n">
        <v>28316</v>
      </c>
      <c r="G41" s="49" t="n">
        <v>35552</v>
      </c>
      <c r="H41" s="181">
        <f>SUM(H39:H40)</f>
        <v/>
      </c>
      <c r="I41" s="181">
        <f>SUM(I39:I40)</f>
        <v/>
      </c>
    </row>
    <row r="42" ht="14" customHeight="1" thickBot="1">
      <c r="A42" s="18" t="inlineStr">
        <is>
          <t>Accumulated Minority Interest</t>
        </is>
      </c>
      <c r="B42" s="34" t="n">
        <v>4836</v>
      </c>
      <c r="C42" s="34" t="n">
        <v>4688</v>
      </c>
      <c r="D42" s="34" t="n">
        <v>20859</v>
      </c>
      <c r="E42" s="34" t="n">
        <v>20878</v>
      </c>
      <c r="F42" s="34" t="n">
        <v>1984</v>
      </c>
      <c r="G42" s="34" t="n">
        <v>2009</v>
      </c>
      <c r="H42" s="183">
        <f>G42</f>
        <v/>
      </c>
      <c r="I42" s="183">
        <f>G42</f>
        <v/>
      </c>
    </row>
    <row r="43">
      <c r="A43" s="19" t="inlineStr">
        <is>
          <t>Total Equity</t>
        </is>
      </c>
      <c r="B43" s="49" t="n">
        <v>103110</v>
      </c>
      <c r="C43" s="49" t="n">
        <v>80516</v>
      </c>
      <c r="D43" s="49" t="n">
        <v>76889</v>
      </c>
      <c r="E43" s="49" t="n">
        <v>51859</v>
      </c>
      <c r="F43" s="49" t="n">
        <v>30300</v>
      </c>
      <c r="G43" s="49" t="n">
        <v>37561</v>
      </c>
      <c r="H43" s="181">
        <f>H41+H42</f>
        <v/>
      </c>
      <c r="I43" s="181">
        <f>I41+I42</f>
        <v/>
      </c>
    </row>
    <row r="44" ht="14" customHeight="1" thickBot="1">
      <c r="A44" s="18" t="n"/>
      <c r="B44" s="34" t="n"/>
      <c r="C44" s="34" t="n"/>
      <c r="D44" s="34" t="n"/>
      <c r="E44" s="34" t="n"/>
      <c r="F44" s="34" t="n"/>
      <c r="G44" s="34" t="n"/>
      <c r="H44" s="183" t="n"/>
      <c r="I44" s="183" t="n"/>
    </row>
    <row r="45" ht="14" customHeight="1" thickBot="1">
      <c r="A45" s="19" t="inlineStr">
        <is>
          <t>Total Liab. &amp; Equity</t>
        </is>
      </c>
      <c r="B45" s="47" t="n">
        <v>515148</v>
      </c>
      <c r="C45" s="47" t="n">
        <v>389549</v>
      </c>
      <c r="D45" s="47" t="n">
        <v>382615</v>
      </c>
      <c r="E45" s="47" t="n">
        <v>319648</v>
      </c>
      <c r="F45" s="47" t="n">
        <v>266676</v>
      </c>
      <c r="G45" s="47" t="n">
        <v>255050</v>
      </c>
      <c r="H45" s="178">
        <f>H37+H43</f>
        <v/>
      </c>
      <c r="I45" s="178">
        <f>I37+I43</f>
        <v/>
      </c>
      <c r="L45" s="55" t="n"/>
    </row>
    <row r="46" ht="14" customHeight="1" thickTop="1"/>
    <row r="47">
      <c r="A47" s="17" t="inlineStr">
        <is>
          <t>Assets - Total Liab. &amp; Equity</t>
        </is>
      </c>
      <c r="B47" s="247">
        <f>B22-B45</f>
        <v/>
      </c>
      <c r="C47" s="247">
        <f>C22-C45</f>
        <v/>
      </c>
      <c r="D47" s="247">
        <f>D22-D45</f>
        <v/>
      </c>
      <c r="E47" s="247">
        <f>E22-E45</f>
        <v/>
      </c>
      <c r="F47" s="247">
        <f>F22-F45</f>
        <v/>
      </c>
      <c r="G47" s="247">
        <f>G22-G45</f>
        <v/>
      </c>
      <c r="H47" s="247">
        <f>H22-H45</f>
        <v/>
      </c>
      <c r="I47" s="247">
        <f>I22-I45</f>
        <v/>
      </c>
    </row>
    <row r="49">
      <c r="A49" s="15" t="inlineStr">
        <is>
          <t>Days of Sales Outstanding (DSO)</t>
        </is>
      </c>
      <c r="B49" s="20" t="n"/>
      <c r="C49" s="179">
        <f>ROUND(365/(IncomeStatement!C5/AVERAGE(BalanceSheet!C7,BalanceSheet!B7)),0)</f>
        <v/>
      </c>
      <c r="D49" s="179">
        <f>ROUND(365/(IncomeStatement!D5/AVERAGE(BalanceSheet!D7,BalanceSheet!C7)),0)</f>
        <v/>
      </c>
      <c r="E49" s="179">
        <f>ROUND(365/(IncomeStatement!E5/AVERAGE(BalanceSheet!E7,BalanceSheet!D7)),0)</f>
        <v/>
      </c>
      <c r="F49" s="179">
        <f>ROUND(365/(IncomeStatement!F5/AVERAGE(BalanceSheet!F7,BalanceSheet!E7)),0)</f>
        <v/>
      </c>
      <c r="G49" s="179">
        <f>ROUND(365/(IncomeStatement!G5/AVERAGE(BalanceSheet!G7,BalanceSheet!F7)),0)</f>
        <v/>
      </c>
      <c r="H49" s="179">
        <f>AVERAGE(C49:G49)</f>
        <v/>
      </c>
      <c r="I49" s="179">
        <f>H49</f>
        <v/>
      </c>
    </row>
    <row r="50">
      <c r="A50" s="15" t="inlineStr">
        <is>
          <t>Days of Inventory on Hand (DIO)</t>
        </is>
      </c>
      <c r="B50" s="20" t="n"/>
      <c r="C50" s="161">
        <f>ROUND(365/((IncomeStatement!C6+IncomeStatement!C11)/AVERAGE(BalanceSheet!C8,BalanceSheet!B8)),0)</f>
        <v/>
      </c>
      <c r="D50" s="161">
        <f>ROUND(365/((IncomeStatement!D6+IncomeStatement!D11)/AVERAGE(BalanceSheet!D8,BalanceSheet!C8)),0)</f>
        <v/>
      </c>
      <c r="E50" s="161">
        <f>ROUND(365/((IncomeStatement!E6+IncomeStatement!E11)/AVERAGE(BalanceSheet!E8,BalanceSheet!D8)),0)</f>
        <v/>
      </c>
      <c r="F50" s="161">
        <f>ROUND(365/((IncomeStatement!F6+IncomeStatement!F11)/AVERAGE(BalanceSheet!F8,BalanceSheet!E8)),0)</f>
        <v/>
      </c>
      <c r="G50" s="161">
        <f>ROUND(365/((IncomeStatement!G6+IncomeStatement!G11)/AVERAGE(BalanceSheet!G8,BalanceSheet!F8)),0)</f>
        <v/>
      </c>
      <c r="H50" s="179">
        <f>AVERAGE(C50:G50)</f>
        <v/>
      </c>
      <c r="I50" s="179">
        <f>H50</f>
        <v/>
      </c>
    </row>
    <row r="51">
      <c r="A51" s="15" t="inlineStr">
        <is>
          <t>Days of Payables Outstanding (DPO)</t>
        </is>
      </c>
      <c r="B51" s="20" t="n"/>
      <c r="C51" s="161">
        <f>ROUND(365/(IncomeStatement!C6/AVERAGE(BalanceSheet!B26,BalanceSheet!C26)),0)</f>
        <v/>
      </c>
      <c r="D51" s="161">
        <f>ROUND(365/(IncomeStatement!D6/AVERAGE(BalanceSheet!C26,BalanceSheet!D26)),0)</f>
        <v/>
      </c>
      <c r="E51" s="161">
        <f>ROUND(365/(IncomeStatement!E6/AVERAGE(BalanceSheet!D26,BalanceSheet!E26)),0)</f>
        <v/>
      </c>
      <c r="F51" s="161">
        <f>ROUND(365/(IncomeStatement!F6/AVERAGE(BalanceSheet!E26,BalanceSheet!F26)),0)</f>
        <v/>
      </c>
      <c r="G51" s="161">
        <f>ROUND(365/(IncomeStatement!G6/AVERAGE(BalanceSheet!F26,BalanceSheet!G26)),0)</f>
        <v/>
      </c>
      <c r="H51" s="179">
        <f>AVERAGE(C51:G51)</f>
        <v/>
      </c>
      <c r="I51" s="179">
        <f>H51</f>
        <v/>
      </c>
    </row>
    <row r="52">
      <c r="A52" s="20" t="n"/>
      <c r="B52" s="20" t="n"/>
    </row>
    <row r="53">
      <c r="A53" s="20" t="n"/>
      <c r="B53" s="20" t="n"/>
    </row>
    <row r="54" ht="16" customHeight="1">
      <c r="A54" s="162" t="inlineStr">
        <is>
          <t>Balance Sheet Items</t>
        </is>
      </c>
      <c r="B54" s="211" t="inlineStr">
        <is>
          <t>Assumptions</t>
        </is>
      </c>
    </row>
    <row r="55">
      <c r="A55" s="17" t="inlineStr">
        <is>
          <t>Assets</t>
        </is>
      </c>
      <c r="B55" s="163" t="n"/>
    </row>
    <row r="56">
      <c r="A56" s="44" t="inlineStr">
        <is>
          <t>Cash &amp; Equivalents (Cash &amp; ST Investments)</t>
        </is>
      </c>
      <c r="B56" s="163" t="inlineStr">
        <is>
          <t>Previous Year Cash &amp; Equivalents (Cash &amp; ST Investments) + Current Year Net Change in Cash from Cash Flow Statement</t>
        </is>
      </c>
      <c r="C56" s="161" t="n"/>
      <c r="D56" s="161" t="n"/>
      <c r="E56" s="161" t="n"/>
      <c r="F56" s="161" t="n"/>
      <c r="G56" s="161" t="n"/>
      <c r="H56" s="161" t="n"/>
      <c r="I56" s="161" t="n"/>
      <c r="J56" s="161" t="n"/>
      <c r="K56" s="161" t="n"/>
      <c r="L56" s="161" t="n"/>
    </row>
    <row r="57">
      <c r="A57" s="44" t="inlineStr">
        <is>
          <t>Accounts Receivable</t>
        </is>
      </c>
      <c r="B57" s="163" t="inlineStr">
        <is>
          <t>last 5 Year Average DSO * Current Year Sales Revenue from Income statement  / 365</t>
        </is>
      </c>
      <c r="C57" s="161" t="n"/>
      <c r="D57" s="161" t="n"/>
      <c r="E57" s="161" t="n"/>
      <c r="F57" s="161" t="n"/>
      <c r="G57" s="161" t="n"/>
      <c r="H57" s="161" t="n"/>
      <c r="I57" s="161" t="n"/>
      <c r="J57" s="161" t="n"/>
      <c r="K57" s="161" t="n"/>
      <c r="L57" s="161" t="n"/>
    </row>
    <row r="58">
      <c r="A58" s="44" t="inlineStr">
        <is>
          <t>Inventories</t>
        </is>
      </c>
      <c r="B58" s="163" t="inlineStr">
        <is>
          <t>last 5 Year Average DIO * Current Year Cost of Good Sold including Depreciation &amp; Amortization from Income Statement / 365</t>
        </is>
      </c>
      <c r="C58" s="161" t="n"/>
      <c r="D58" s="161" t="n"/>
      <c r="E58" s="161" t="n"/>
      <c r="F58" s="161" t="n"/>
      <c r="G58" s="161" t="n"/>
      <c r="H58" s="161" t="n"/>
      <c r="I58" s="161" t="n"/>
      <c r="J58" s="161" t="n"/>
      <c r="K58" s="161" t="n"/>
      <c r="L58" s="161" t="n"/>
    </row>
    <row r="59">
      <c r="A59" s="44" t="inlineStr">
        <is>
          <t>Other Current Assets</t>
        </is>
      </c>
      <c r="B59" s="161" t="inlineStr">
        <is>
          <t>Same as last reported</t>
        </is>
      </c>
      <c r="C59" s="161" t="n"/>
      <c r="D59" s="161" t="n"/>
      <c r="E59" s="161" t="n"/>
      <c r="F59" s="161" t="n"/>
      <c r="G59" s="161" t="n"/>
      <c r="H59" s="161" t="n"/>
      <c r="I59" s="161" t="n"/>
      <c r="J59" s="161" t="n"/>
      <c r="K59" s="161" t="n"/>
      <c r="L59" s="161" t="n"/>
    </row>
    <row r="60">
      <c r="A60" s="19" t="inlineStr">
        <is>
          <t>Total Current Assets</t>
        </is>
      </c>
      <c r="B60" s="160" t="inlineStr">
        <is>
          <t>Cash &amp; Equivalents (Cash &amp; ST Investments) + Accounts Receivable + Inventories + Other Current Assets</t>
        </is>
      </c>
      <c r="C60" s="161" t="n"/>
      <c r="D60" s="161" t="n"/>
      <c r="E60" s="161" t="n"/>
      <c r="F60" s="161" t="n"/>
      <c r="G60" s="161" t="n"/>
      <c r="H60" s="161" t="n"/>
      <c r="I60" s="161" t="n"/>
      <c r="J60" s="161" t="n"/>
      <c r="K60" s="161" t="n"/>
      <c r="L60" s="161" t="n"/>
    </row>
    <row r="61">
      <c r="A61" s="19" t="n"/>
      <c r="B61" s="163" t="n"/>
      <c r="C61" s="161" t="n"/>
      <c r="D61" s="161" t="n"/>
      <c r="E61" s="161" t="n"/>
      <c r="F61" s="161" t="n"/>
      <c r="G61" s="161" t="n"/>
      <c r="H61" s="161" t="n"/>
      <c r="I61" s="161" t="n"/>
      <c r="J61" s="161" t="n"/>
      <c r="K61" s="161" t="n"/>
      <c r="L61" s="161" t="n"/>
    </row>
    <row r="62">
      <c r="A62" s="44" t="inlineStr">
        <is>
          <t>Gross PP&amp;E</t>
        </is>
      </c>
      <c r="B62" s="161" t="inlineStr">
        <is>
          <t>Previous Year  Gross PP&amp;E + Current Year Capital Expenditures from Cash Flow Statement</t>
        </is>
      </c>
      <c r="C62" s="161" t="n"/>
      <c r="D62" s="161" t="n"/>
      <c r="E62" s="161" t="n"/>
      <c r="F62" s="161" t="n"/>
      <c r="G62" s="161" t="n"/>
      <c r="H62" s="161" t="n"/>
      <c r="I62" s="161" t="n"/>
      <c r="J62" s="161" t="n"/>
      <c r="K62" s="161" t="n"/>
      <c r="L62" s="161" t="n"/>
    </row>
    <row r="63">
      <c r="A63" s="44" t="inlineStr">
        <is>
          <t>Accumulated Depreciation</t>
        </is>
      </c>
      <c r="B63" s="161" t="inlineStr">
        <is>
          <t>Previous Year Accumulated Depreciation + Current Depreciation &amp; Amortization from Income Statement</t>
        </is>
      </c>
      <c r="C63" s="161" t="n"/>
      <c r="D63" s="161" t="n"/>
      <c r="E63" s="161" t="n"/>
      <c r="F63" s="161" t="n"/>
      <c r="G63" s="161" t="n"/>
      <c r="H63" s="161" t="n"/>
      <c r="I63" s="161" t="n"/>
      <c r="J63" s="161" t="n"/>
      <c r="K63" s="161" t="n"/>
      <c r="L63" s="161" t="n"/>
    </row>
    <row r="64">
      <c r="A64" s="44" t="inlineStr">
        <is>
          <t>Net PP&amp;E</t>
        </is>
      </c>
      <c r="B64" s="161" t="inlineStr">
        <is>
          <t>Gross PP&amp;E - Accumulated Depreciation</t>
        </is>
      </c>
      <c r="C64" s="161" t="n"/>
      <c r="D64" s="161" t="n"/>
      <c r="E64" s="161" t="n"/>
      <c r="F64" s="161" t="n"/>
      <c r="G64" s="161" t="n"/>
      <c r="H64" s="161" t="n"/>
      <c r="I64" s="161" t="n"/>
      <c r="J64" s="161" t="n"/>
      <c r="K64" s="161" t="n"/>
      <c r="L64" s="161" t="n"/>
    </row>
    <row r="65">
      <c r="A65" s="44" t="inlineStr">
        <is>
          <t>Total Investments and Advances</t>
        </is>
      </c>
      <c r="B65" s="161" t="inlineStr">
        <is>
          <t>Same as last reported</t>
        </is>
      </c>
      <c r="C65" s="161" t="n"/>
      <c r="D65" s="161" t="n"/>
      <c r="E65" s="161" t="n"/>
      <c r="F65" s="161" t="n"/>
      <c r="G65" s="161" t="n"/>
      <c r="H65" s="161" t="n"/>
      <c r="I65" s="161" t="n"/>
      <c r="J65" s="161" t="n"/>
      <c r="K65" s="161" t="n"/>
      <c r="L65" s="161" t="n"/>
    </row>
    <row r="66">
      <c r="A66" s="44" t="inlineStr">
        <is>
          <t>Long-Term Note Receivable</t>
        </is>
      </c>
      <c r="B66" s="161" t="inlineStr">
        <is>
          <t>Same as last reported</t>
        </is>
      </c>
      <c r="C66" s="161" t="n"/>
      <c r="D66" s="161" t="n"/>
      <c r="E66" s="161" t="n"/>
      <c r="F66" s="161" t="n"/>
      <c r="G66" s="161" t="n"/>
      <c r="H66" s="161" t="n"/>
      <c r="I66" s="161" t="n"/>
      <c r="J66" s="161" t="n"/>
      <c r="K66" s="161" t="n"/>
      <c r="L66" s="161" t="n"/>
    </row>
    <row r="67">
      <c r="A67" s="44" t="inlineStr">
        <is>
          <t>Intangibles</t>
        </is>
      </c>
      <c r="B67" s="161" t="inlineStr">
        <is>
          <t>Same as last reported</t>
        </is>
      </c>
      <c r="C67" s="161" t="n"/>
      <c r="D67" s="161" t="n"/>
      <c r="E67" s="161" t="n"/>
      <c r="F67" s="161" t="n"/>
      <c r="G67" s="161" t="n"/>
      <c r="H67" s="161" t="n"/>
      <c r="I67" s="161" t="n"/>
      <c r="J67" s="161" t="n"/>
      <c r="K67" s="161" t="n"/>
      <c r="L67" s="161" t="n"/>
    </row>
    <row r="68">
      <c r="A68" s="44" t="inlineStr">
        <is>
          <t>Deferred Tax Assets</t>
        </is>
      </c>
      <c r="B68" s="161" t="inlineStr">
        <is>
          <t>Same as last reported</t>
        </is>
      </c>
      <c r="C68" s="161" t="n"/>
      <c r="D68" s="161" t="n"/>
      <c r="E68" s="161" t="n"/>
      <c r="F68" s="161" t="n"/>
      <c r="G68" s="161" t="n"/>
      <c r="H68" s="161" t="n"/>
      <c r="I68" s="161" t="n"/>
      <c r="J68" s="161" t="n"/>
      <c r="K68" s="161" t="n"/>
      <c r="L68" s="161" t="n"/>
    </row>
    <row r="69">
      <c r="A69" s="44" t="inlineStr">
        <is>
          <t>Other Assets</t>
        </is>
      </c>
      <c r="B69" s="161" t="inlineStr">
        <is>
          <t>Same as last reported</t>
        </is>
      </c>
      <c r="C69" s="161" t="n"/>
      <c r="D69" s="161" t="n"/>
      <c r="E69" s="161" t="n"/>
      <c r="F69" s="161" t="n"/>
      <c r="G69" s="161" t="n"/>
      <c r="H69" s="161" t="n"/>
      <c r="I69" s="161" t="n"/>
      <c r="J69" s="161" t="n"/>
      <c r="K69" s="161" t="n"/>
      <c r="L69" s="161" t="n"/>
    </row>
    <row r="70">
      <c r="A70" s="19" t="inlineStr">
        <is>
          <t>Total Non-Current Assets</t>
        </is>
      </c>
      <c r="B70" s="212" t="inlineStr">
        <is>
          <t>Net PP&amp;E + Total Investments and Advances + Long-Term Note Receivable + Intangibles + Deferred Tax Assets + Other Assets</t>
        </is>
      </c>
    </row>
    <row r="71">
      <c r="A71" s="19" t="n"/>
    </row>
    <row r="72">
      <c r="A72" s="19" t="inlineStr">
        <is>
          <t>Total Assets</t>
        </is>
      </c>
      <c r="B72" s="160" t="inlineStr">
        <is>
          <t>Total Current Assets + Total Non-Current Assets</t>
        </is>
      </c>
      <c r="C72" s="161" t="n"/>
      <c r="D72" s="161" t="n"/>
      <c r="E72" s="161" t="n"/>
      <c r="F72" s="161" t="n"/>
      <c r="G72" s="161" t="n"/>
      <c r="H72" s="161" t="n"/>
      <c r="I72" s="161" t="n"/>
      <c r="J72" s="161" t="n"/>
      <c r="K72" s="161" t="n"/>
      <c r="L72" s="161" t="n"/>
    </row>
    <row r="73">
      <c r="A73" s="164" t="n"/>
      <c r="B73" s="163" t="n"/>
      <c r="C73" s="161" t="n"/>
      <c r="D73" s="161" t="n"/>
      <c r="E73" s="161" t="n"/>
      <c r="F73" s="161" t="n"/>
      <c r="G73" s="161" t="n"/>
      <c r="H73" s="161" t="n"/>
      <c r="I73" s="161" t="n"/>
      <c r="J73" s="161" t="n"/>
      <c r="K73" s="161" t="n"/>
      <c r="L73" s="161" t="n"/>
    </row>
    <row r="74">
      <c r="A74" s="17" t="inlineStr">
        <is>
          <t>Liabilities &amp; Shareholders' Equity</t>
        </is>
      </c>
      <c r="B74" s="163" t="n"/>
      <c r="C74" s="161" t="n"/>
      <c r="D74" s="161" t="n"/>
      <c r="E74" s="161" t="n"/>
      <c r="F74" s="161" t="n"/>
      <c r="G74" s="161" t="n"/>
      <c r="H74" s="161" t="n"/>
      <c r="I74" s="161" t="n"/>
      <c r="J74" s="161" t="n"/>
      <c r="K74" s="161" t="n"/>
      <c r="L74" s="161" t="n"/>
    </row>
    <row r="75">
      <c r="A75" s="44" t="inlineStr">
        <is>
          <t>Short Term Debt</t>
        </is>
      </c>
      <c r="B75" s="161" t="inlineStr">
        <is>
          <t>Previous Year Short Term Debt + Current Year Change in Current Debtt from Cash Flow Statement</t>
        </is>
      </c>
      <c r="C75" s="161" t="n"/>
      <c r="D75" s="161" t="n"/>
      <c r="E75" s="161" t="n"/>
      <c r="F75" s="161" t="n"/>
      <c r="G75" s="161" t="n"/>
      <c r="H75" s="161" t="n"/>
      <c r="I75" s="161" t="n"/>
      <c r="J75" s="161" t="n"/>
      <c r="K75" s="161" t="n"/>
      <c r="L75" s="161" t="n"/>
    </row>
    <row r="76">
      <c r="A76" s="44" t="inlineStr">
        <is>
          <t>Accounts Payable</t>
        </is>
      </c>
      <c r="B76" s="163" t="inlineStr">
        <is>
          <t>last 5 Year Average DPO * Current Year Cost of Good Sold excluding Depreciation &amp; Amortization /365</t>
        </is>
      </c>
      <c r="C76" s="161" t="n"/>
      <c r="D76" s="161" t="n"/>
      <c r="E76" s="161" t="n"/>
      <c r="F76" s="161" t="n"/>
      <c r="G76" s="161" t="n"/>
      <c r="H76" s="161" t="n"/>
      <c r="I76" s="161" t="n"/>
      <c r="J76" s="161" t="n"/>
      <c r="K76" s="161" t="n"/>
      <c r="L76" s="161" t="n"/>
    </row>
    <row r="77">
      <c r="A77" s="44" t="inlineStr">
        <is>
          <t>Income Tax Payable</t>
        </is>
      </c>
      <c r="B77" s="161" t="inlineStr">
        <is>
          <t>Same as last reported</t>
        </is>
      </c>
      <c r="C77" s="161" t="n"/>
      <c r="D77" s="161" t="n"/>
      <c r="E77" s="161" t="n"/>
      <c r="F77" s="161" t="n"/>
      <c r="G77" s="161" t="n"/>
      <c r="H77" s="161" t="n"/>
      <c r="I77" s="161" t="n"/>
      <c r="J77" s="161" t="n"/>
      <c r="K77" s="161" t="n"/>
      <c r="L77" s="161" t="n"/>
    </row>
    <row r="78">
      <c r="A78" s="44" t="inlineStr">
        <is>
          <t>Other Current Liabilities</t>
        </is>
      </c>
      <c r="B78" s="161" t="inlineStr">
        <is>
          <t>Same as last reported</t>
        </is>
      </c>
      <c r="C78" s="161" t="n"/>
      <c r="D78" s="161" t="n"/>
      <c r="E78" s="161" t="n"/>
      <c r="F78" s="161" t="n"/>
      <c r="G78" s="161" t="n"/>
      <c r="H78" s="161" t="n"/>
      <c r="I78" s="161" t="n"/>
      <c r="J78" s="161" t="n"/>
      <c r="K78" s="161" t="n"/>
      <c r="L78" s="161" t="n"/>
    </row>
    <row r="79">
      <c r="A79" s="19" t="inlineStr">
        <is>
          <t>Total Current Liabilities</t>
        </is>
      </c>
      <c r="B79" s="160" t="inlineStr">
        <is>
          <t>Short Term Debt + Accounts Payable + Income Tax Payable + Other Current Liabilities</t>
        </is>
      </c>
      <c r="C79" s="161" t="n"/>
      <c r="D79" s="161" t="n"/>
      <c r="E79" s="161" t="n"/>
      <c r="F79" s="161" t="n"/>
      <c r="G79" s="161" t="n"/>
      <c r="H79" s="161" t="n"/>
      <c r="I79" s="161" t="n"/>
      <c r="J79" s="161" t="n"/>
      <c r="K79" s="161" t="n"/>
      <c r="L79" s="161" t="n"/>
    </row>
    <row r="80">
      <c r="A80" s="19" t="n"/>
      <c r="B80" s="163" t="n"/>
      <c r="C80" s="161" t="n"/>
      <c r="D80" s="161" t="n"/>
      <c r="E80" s="161" t="n"/>
      <c r="F80" s="161" t="n"/>
      <c r="G80" s="161" t="n"/>
      <c r="H80" s="161" t="n"/>
      <c r="I80" s="161" t="n"/>
      <c r="J80" s="161" t="n"/>
      <c r="K80" s="161" t="n"/>
      <c r="L80" s="161" t="n"/>
    </row>
    <row r="81">
      <c r="A81" s="44" t="inlineStr">
        <is>
          <t>Long Term Debt</t>
        </is>
      </c>
      <c r="B81" s="161" t="inlineStr">
        <is>
          <t>Previous Year Long Term Debt + Current Year Change in Long-Term Debt from Cash Flow Statement</t>
        </is>
      </c>
      <c r="C81" s="161" t="n"/>
      <c r="D81" s="161" t="n"/>
      <c r="E81" s="161" t="n"/>
      <c r="F81" s="161" t="n"/>
      <c r="G81" s="161" t="n"/>
      <c r="H81" s="161" t="n"/>
      <c r="I81" s="161" t="n"/>
      <c r="J81" s="161" t="n"/>
      <c r="K81" s="161" t="n"/>
      <c r="L81" s="161" t="n"/>
    </row>
    <row r="82">
      <c r="A82" s="44" t="inlineStr">
        <is>
          <t>Provision for Risks &amp; Charges</t>
        </is>
      </c>
      <c r="B82" s="161" t="inlineStr">
        <is>
          <t>Same as last reported</t>
        </is>
      </c>
      <c r="C82" s="161" t="n"/>
      <c r="D82" s="161" t="n"/>
      <c r="E82" s="161" t="n"/>
      <c r="F82" s="161" t="n"/>
      <c r="G82" s="161" t="n"/>
      <c r="H82" s="161" t="n"/>
      <c r="I82" s="161" t="n"/>
      <c r="J82" s="161" t="n"/>
      <c r="K82" s="161" t="n"/>
      <c r="L82" s="161" t="n"/>
    </row>
    <row r="83">
      <c r="A83" s="44" t="inlineStr">
        <is>
          <t>Deferred Tax Liabilities</t>
        </is>
      </c>
      <c r="B83" s="161" t="inlineStr">
        <is>
          <t>Same as last reported</t>
        </is>
      </c>
      <c r="C83" s="161" t="n"/>
      <c r="D83" s="161" t="n"/>
      <c r="E83" s="161" t="n"/>
      <c r="F83" s="161" t="n"/>
      <c r="G83" s="161" t="n"/>
      <c r="H83" s="161" t="n"/>
      <c r="I83" s="161" t="n"/>
      <c r="J83" s="161" t="n"/>
      <c r="K83" s="161" t="n"/>
      <c r="L83" s="161" t="n"/>
    </row>
    <row r="84">
      <c r="A84" s="44" t="inlineStr">
        <is>
          <t>Other Liabilities</t>
        </is>
      </c>
      <c r="B84" s="161" t="inlineStr">
        <is>
          <t>Same as last reported</t>
        </is>
      </c>
      <c r="C84" s="161" t="n"/>
      <c r="D84" s="161" t="n"/>
      <c r="E84" s="161" t="n"/>
      <c r="F84" s="161" t="n"/>
      <c r="G84" s="161" t="n"/>
      <c r="H84" s="161" t="n"/>
      <c r="I84" s="161" t="n"/>
      <c r="J84" s="161" t="n"/>
      <c r="K84" s="161" t="n"/>
      <c r="L84" s="161" t="n"/>
    </row>
    <row r="85">
      <c r="A85" s="19" t="inlineStr">
        <is>
          <t>Total Non-current Liabilities</t>
        </is>
      </c>
      <c r="B85" s="186" t="inlineStr">
        <is>
          <t>Long Term Debt + Provision for Risks &amp; Charges + Deferred Tax Liabilities + Other Liabilities</t>
        </is>
      </c>
      <c r="C85" s="161" t="n"/>
      <c r="D85" s="161" t="n"/>
      <c r="E85" s="161" t="n"/>
      <c r="F85" s="161" t="n"/>
      <c r="G85" s="161" t="n"/>
      <c r="H85" s="161" t="n"/>
      <c r="I85" s="161" t="n"/>
      <c r="J85" s="161" t="n"/>
      <c r="K85" s="161" t="n"/>
      <c r="L85" s="161" t="n"/>
    </row>
    <row r="86">
      <c r="A86" s="19" t="n"/>
      <c r="B86" s="163" t="n"/>
      <c r="C86" s="161" t="n"/>
      <c r="D86" s="161" t="n"/>
      <c r="E86" s="161" t="n"/>
      <c r="F86" s="161" t="n"/>
      <c r="G86" s="161" t="n"/>
      <c r="H86" s="161" t="n"/>
      <c r="I86" s="161" t="n"/>
      <c r="J86" s="161" t="n"/>
      <c r="K86" s="161" t="n"/>
      <c r="L86" s="161" t="n"/>
    </row>
    <row r="87">
      <c r="A87" s="19" t="inlineStr">
        <is>
          <t>Total Liabilities</t>
        </is>
      </c>
      <c r="B87" s="186" t="inlineStr">
        <is>
          <t>Total Current Liabilities + Total Non-current Liabilities</t>
        </is>
      </c>
      <c r="C87" s="161" t="n"/>
      <c r="D87" s="161" t="n"/>
      <c r="E87" s="161" t="n"/>
      <c r="F87" s="161" t="n"/>
      <c r="G87" s="161" t="n"/>
      <c r="H87" s="161" t="n"/>
      <c r="I87" s="161" t="n"/>
      <c r="J87" s="161" t="n"/>
      <c r="K87" s="161" t="n"/>
      <c r="L87" s="161" t="n"/>
    </row>
    <row r="88">
      <c r="A88" s="19" t="n"/>
      <c r="B88" s="161" t="n"/>
      <c r="C88" s="161" t="n"/>
      <c r="D88" s="161" t="n"/>
      <c r="E88" s="161" t="n"/>
      <c r="F88" s="161" t="n"/>
      <c r="G88" s="161" t="n"/>
      <c r="H88" s="161" t="n"/>
      <c r="I88" s="161" t="n"/>
      <c r="J88" s="161" t="n"/>
      <c r="K88" s="161" t="n"/>
      <c r="L88" s="161" t="n"/>
    </row>
    <row r="89">
      <c r="A89" s="44" t="inlineStr">
        <is>
          <t>Preferred Stock</t>
        </is>
      </c>
      <c r="B89" s="161" t="inlineStr">
        <is>
          <t>Same as last reported</t>
        </is>
      </c>
      <c r="C89" s="161" t="n"/>
      <c r="D89" s="161" t="n"/>
      <c r="E89" s="161" t="n"/>
      <c r="F89" s="161" t="n"/>
      <c r="G89" s="161" t="n"/>
      <c r="H89" s="161" t="n"/>
      <c r="I89" s="161" t="n"/>
      <c r="J89" s="161" t="n"/>
      <c r="K89" s="161" t="n"/>
      <c r="L89" s="161" t="n"/>
    </row>
    <row r="90">
      <c r="A90" s="44" t="inlineStr">
        <is>
          <t>Stockholder's Equity</t>
        </is>
      </c>
      <c r="B90" s="213" t="inlineStr">
        <is>
          <t>Previous Year Stockholder's Equity + Current Year Net Income available to Common from Income Statement + Current Year Cash Dividends Paid from Cash Flow Statement</t>
        </is>
      </c>
    </row>
    <row r="91">
      <c r="A91" s="44" t="n"/>
    </row>
    <row r="92">
      <c r="A92" s="19" t="inlineStr">
        <is>
          <t>Total Shareholders' Equity</t>
        </is>
      </c>
      <c r="B92" s="163" t="inlineStr">
        <is>
          <t>Preferred Stock + Stockholder's Equity</t>
        </is>
      </c>
      <c r="C92" s="161" t="n"/>
      <c r="D92" s="161" t="n"/>
      <c r="E92" s="161" t="n"/>
      <c r="F92" s="161" t="n"/>
      <c r="G92" s="161" t="n"/>
      <c r="H92" s="161" t="n"/>
      <c r="I92" s="161" t="n"/>
      <c r="J92" s="161" t="n"/>
      <c r="K92" s="161" t="n"/>
      <c r="L92" s="161" t="n"/>
    </row>
    <row r="93">
      <c r="A93" s="44" t="inlineStr">
        <is>
          <t>Accumulated Minority Interest</t>
        </is>
      </c>
      <c r="B93" s="161" t="inlineStr">
        <is>
          <t>Same as last reported</t>
        </is>
      </c>
      <c r="C93" s="161" t="n"/>
      <c r="D93" s="161" t="n"/>
      <c r="E93" s="161" t="n"/>
      <c r="F93" s="161" t="n"/>
      <c r="G93" s="161" t="n"/>
      <c r="H93" s="161" t="n"/>
      <c r="I93" s="161" t="n"/>
      <c r="J93" s="161" t="n"/>
      <c r="K93" s="161" t="n"/>
      <c r="L93" s="161" t="n"/>
    </row>
    <row r="94">
      <c r="A94" s="19" t="inlineStr">
        <is>
          <t>Total Equity</t>
        </is>
      </c>
      <c r="B94" s="163" t="inlineStr">
        <is>
          <t>Total Shareholders' Equity + Accumulated Minority Interest</t>
        </is>
      </c>
      <c r="C94" s="161" t="n"/>
      <c r="D94" s="161" t="n"/>
      <c r="E94" s="161" t="n"/>
      <c r="F94" s="161" t="n"/>
      <c r="G94" s="161" t="n"/>
      <c r="H94" s="161" t="n"/>
      <c r="I94" s="161" t="n"/>
      <c r="J94" s="161" t="n"/>
      <c r="K94" s="161" t="n"/>
      <c r="L94" s="161" t="n"/>
    </row>
    <row r="95">
      <c r="A95" s="44" t="n"/>
      <c r="B95" s="163" t="n"/>
      <c r="C95" s="161" t="n"/>
      <c r="D95" s="161" t="n"/>
      <c r="E95" s="161" t="n"/>
      <c r="F95" s="161" t="n"/>
      <c r="G95" s="161" t="n"/>
      <c r="H95" s="161" t="n"/>
      <c r="I95" s="161" t="n"/>
      <c r="J95" s="161" t="n"/>
      <c r="K95" s="161" t="n"/>
      <c r="L95" s="161" t="n"/>
    </row>
    <row r="96">
      <c r="A96" s="19" t="inlineStr">
        <is>
          <t>Total Liab. &amp; Equity</t>
        </is>
      </c>
      <c r="B96" s="186" t="inlineStr">
        <is>
          <t>Total Liabilities + Total Equity</t>
        </is>
      </c>
      <c r="C96" s="161" t="n"/>
      <c r="D96" s="161" t="n"/>
      <c r="E96" s="161" t="n"/>
      <c r="F96" s="161" t="n"/>
      <c r="G96" s="161" t="n"/>
      <c r="H96" s="161" t="n"/>
      <c r="I96" s="161" t="n"/>
      <c r="J96" s="161" t="n"/>
      <c r="K96" s="161" t="n"/>
      <c r="L96" s="161" t="n"/>
    </row>
    <row r="97">
      <c r="A97" s="31" t="n"/>
      <c r="B97" s="20" t="n"/>
    </row>
    <row r="98">
      <c r="A98" s="32" t="n"/>
      <c r="B98" s="20" t="n"/>
    </row>
    <row r="99">
      <c r="A99" s="31" t="n"/>
      <c r="B99" s="20" t="n"/>
    </row>
    <row r="100">
      <c r="A100" s="39" t="inlineStr">
        <is>
          <t>Days of Sales Outstanding (DSO)</t>
        </is>
      </c>
      <c r="B100" s="20" t="n"/>
    </row>
    <row r="101">
      <c r="A101" s="39" t="inlineStr">
        <is>
          <t>Days of Inventory on Hand (DIO)</t>
        </is>
      </c>
      <c r="B101" s="20" t="n"/>
    </row>
    <row r="102">
      <c r="A102" s="39" t="inlineStr">
        <is>
          <t>Days of Payables Outstanding (DPO)</t>
        </is>
      </c>
      <c r="B102" s="20" t="n"/>
    </row>
    <row r="103">
      <c r="A103" s="20" t="n"/>
      <c r="B103" s="20" t="n"/>
    </row>
    <row r="105">
      <c r="A105" s="32" t="n"/>
    </row>
    <row r="106">
      <c r="A106" s="35" t="n"/>
      <c r="B106" s="36" t="n"/>
    </row>
    <row r="107">
      <c r="A107" s="35" t="n"/>
      <c r="B107" s="36" t="n"/>
    </row>
    <row r="108">
      <c r="A108" s="35" t="n"/>
      <c r="B108" s="36" t="n"/>
    </row>
  </sheetData>
  <mergeCells count="3">
    <mergeCell ref="B90:L91"/>
    <mergeCell ref="B70:L71"/>
    <mergeCell ref="B54:I54"/>
  </mergeCells>
  <conditionalFormatting sqref="B47:I47">
    <cfRule type="cellIs" priority="1" operator="equal" dxfId="0">
      <formula>0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V84"/>
  <sheetViews>
    <sheetView showGridLines="0" tabSelected="1" workbookViewId="0">
      <selection activeCell="A1" sqref="A1"/>
    </sheetView>
  </sheetViews>
  <sheetFormatPr baseColWidth="10" defaultColWidth="8.83203125" defaultRowHeight="13"/>
  <cols>
    <col width="54" bestFit="1" customWidth="1" min="1" max="1"/>
    <col width="0.6640625" customWidth="1" min="2" max="2"/>
    <col width="10.6640625" customWidth="1" min="3" max="9"/>
  </cols>
  <sheetData>
    <row r="1" ht="18" customHeight="1">
      <c r="A1" s="231" t="inlineStr">
        <is>
          <t>Lululemon Athletica Inc. (LULU)</t>
        </is>
      </c>
      <c r="B1" s="7" t="n"/>
    </row>
    <row r="2">
      <c r="A2" s="8" t="inlineStr">
        <is>
          <t>Statement of Cash Flows</t>
        </is>
      </c>
      <c r="B2" s="8" t="n"/>
    </row>
    <row r="3" ht="30" customHeight="1">
      <c r="C3" s="232" t="inlineStr">
        <is>
          <t>FY 2021
(1/31/2021)</t>
        </is>
      </c>
      <c r="D3" s="232" t="inlineStr">
        <is>
          <t>FY 2022
(1/30/2022)</t>
        </is>
      </c>
      <c r="E3" s="232" t="inlineStr">
        <is>
          <t>FY 2023
(1/29/2023)</t>
        </is>
      </c>
      <c r="F3" s="232" t="inlineStr">
        <is>
          <t>FY 2024
(1/28/2024)</t>
        </is>
      </c>
      <c r="G3" s="232" t="inlineStr">
        <is>
          <t>FY 2025
(2/2/2025)</t>
        </is>
      </c>
      <c r="H3" s="233" t="inlineStr">
        <is>
          <t>FY 2026E</t>
        </is>
      </c>
      <c r="I3" s="233" t="inlineStr">
        <is>
          <t>FY 2027E</t>
        </is>
      </c>
    </row>
    <row r="5">
      <c r="A5" s="33" t="inlineStr">
        <is>
          <t>Operating Activities</t>
        </is>
      </c>
      <c r="B5" s="33" t="n"/>
      <c r="C5" s="33" t="n"/>
      <c r="D5" s="33" t="n"/>
      <c r="E5" s="33" t="n"/>
      <c r="F5" s="33" t="n"/>
      <c r="G5" s="33" t="n"/>
      <c r="H5" s="33" t="n"/>
      <c r="I5" s="33" t="n"/>
      <c r="J5" s="33" t="n"/>
      <c r="K5" s="33" t="n"/>
    </row>
    <row r="6">
      <c r="A6" s="18" t="inlineStr">
        <is>
          <t>Net Income</t>
        </is>
      </c>
      <c r="B6" s="205" t="n"/>
      <c r="C6" s="34" t="n">
        <v>8831</v>
      </c>
      <c r="D6" s="34" t="n">
        <v>-8849</v>
      </c>
      <c r="E6" s="34" t="n">
        <v>-22443</v>
      </c>
      <c r="F6" s="34" t="n">
        <v>-4912</v>
      </c>
      <c r="G6" s="34" t="n">
        <v>5546</v>
      </c>
      <c r="H6" s="183">
        <f>IncomeStatement!H21</f>
        <v/>
      </c>
      <c r="I6" s="183">
        <f>IncomeStatement!I21</f>
        <v/>
      </c>
    </row>
    <row r="7">
      <c r="A7" s="18" t="inlineStr">
        <is>
          <t>Depreciation, Depletion &amp; Amortization</t>
        </is>
      </c>
      <c r="B7" s="205" t="n"/>
      <c r="C7" s="34" t="n">
        <v>4997</v>
      </c>
      <c r="D7" s="34" t="n">
        <v>7429</v>
      </c>
      <c r="E7" s="34" t="n">
        <v>6582</v>
      </c>
      <c r="F7" s="34" t="n">
        <v>5595</v>
      </c>
      <c r="G7" s="34" t="n">
        <v>6018</v>
      </c>
      <c r="H7" s="183">
        <f>IncomeStatement!H11</f>
        <v/>
      </c>
      <c r="I7" s="183">
        <f>IncomeStatement!I11</f>
        <v/>
      </c>
    </row>
    <row r="8">
      <c r="A8" s="18" t="inlineStr">
        <is>
          <t>Deferred Taxes &amp; Investment Tax Credit</t>
        </is>
      </c>
      <c r="B8" s="205" t="n"/>
      <c r="C8" s="34" t="n">
        <v>814</v>
      </c>
      <c r="D8" s="34" t="n">
        <v>-5047</v>
      </c>
      <c r="E8" s="34" t="n">
        <v>-1311</v>
      </c>
      <c r="F8" s="34" t="n">
        <v>-1224</v>
      </c>
      <c r="G8" s="34" t="n">
        <v>-1915</v>
      </c>
      <c r="H8" s="183" t="n">
        <v>0</v>
      </c>
      <c r="I8" s="183" t="n">
        <v>0</v>
      </c>
    </row>
    <row r="9" ht="14" customHeight="1" thickBot="1">
      <c r="A9" s="18" t="inlineStr">
        <is>
          <t>Other Funds</t>
        </is>
      </c>
      <c r="B9" s="205" t="n"/>
      <c r="C9" s="34" t="n">
        <v>-5389</v>
      </c>
      <c r="D9" s="34" t="n">
        <v>1691</v>
      </c>
      <c r="E9" s="34" t="n">
        <v>20654</v>
      </c>
      <c r="F9" s="34" t="n">
        <v>6780</v>
      </c>
      <c r="G9" s="34" t="n">
        <v>-8718</v>
      </c>
      <c r="H9" s="183" t="n">
        <v>0</v>
      </c>
      <c r="I9" s="183" t="n">
        <v>0</v>
      </c>
    </row>
    <row r="10">
      <c r="A10" s="19" t="inlineStr">
        <is>
          <t>Funds from Operations</t>
        </is>
      </c>
      <c r="B10" s="206" t="n"/>
      <c r="C10" s="49" t="n">
        <v>9253</v>
      </c>
      <c r="D10" s="49" t="n">
        <v>-4776</v>
      </c>
      <c r="E10" s="49" t="n">
        <v>3482</v>
      </c>
      <c r="F10" s="49" t="n">
        <v>6239</v>
      </c>
      <c r="G10" s="49" t="n">
        <v>931</v>
      </c>
      <c r="H10" s="181">
        <f>SUM(H6:H9)</f>
        <v/>
      </c>
      <c r="I10" s="181">
        <f>SUM(I6:I9)</f>
        <v/>
      </c>
      <c r="J10" s="56" t="n"/>
      <c r="K10" s="56" t="n"/>
    </row>
    <row r="11">
      <c r="C11" s="34" t="n"/>
      <c r="D11" s="34" t="n"/>
      <c r="E11" s="34" t="n"/>
      <c r="F11" s="34" t="n"/>
      <c r="G11" s="34" t="n"/>
      <c r="H11" s="183" t="n"/>
      <c r="I11" s="183" t="n"/>
    </row>
    <row r="12">
      <c r="A12" s="18" t="inlineStr">
        <is>
          <t>Change in Receivables (Previous FY - Current FY)</t>
        </is>
      </c>
      <c r="B12" s="205" t="n"/>
      <c r="C12" s="34" t="n">
        <v>1514</v>
      </c>
      <c r="D12" s="34" t="n">
        <v>-2846</v>
      </c>
      <c r="E12" s="34" t="n">
        <v>-358</v>
      </c>
      <c r="F12" s="34" t="n">
        <v>-2851</v>
      </c>
      <c r="G12" s="34" t="n">
        <v>-1319</v>
      </c>
      <c r="H12" s="183">
        <f>BalanceSheet!G7-BalanceSheet!H7</f>
        <v/>
      </c>
      <c r="I12" s="183">
        <f>BalanceSheet!H7-BalanceSheet!I7</f>
        <v/>
      </c>
    </row>
    <row r="13">
      <c r="A13" s="18" t="inlineStr">
        <is>
          <t>Change in Inventories (Previous FY - Current FY)</t>
        </is>
      </c>
      <c r="B13" s="205" t="n"/>
      <c r="C13" s="34" t="n">
        <v>-1389</v>
      </c>
      <c r="D13" s="34" t="n">
        <v>1183</v>
      </c>
      <c r="E13" s="34" t="n">
        <v>-356</v>
      </c>
      <c r="F13" s="34" t="n">
        <v>-1581</v>
      </c>
      <c r="G13" s="34" t="n">
        <v>1105</v>
      </c>
      <c r="H13" s="183">
        <f>BalanceSheet!G8-BalanceSheet!H8</f>
        <v/>
      </c>
      <c r="I13" s="183">
        <f>BalanceSheet!H8-BalanceSheet!I8</f>
        <v/>
      </c>
    </row>
    <row r="14">
      <c r="A14" s="18" t="inlineStr">
        <is>
          <t>Change in Accounts Payable (Current FY - Previous FY)</t>
        </is>
      </c>
      <c r="B14" s="205" t="n"/>
      <c r="C14" s="34" t="n">
        <v>1198</v>
      </c>
      <c r="D14" s="34" t="n">
        <v>-394</v>
      </c>
      <c r="E14" s="34" t="n">
        <v>1545</v>
      </c>
      <c r="F14" s="34" t="n">
        <v>2674</v>
      </c>
      <c r="G14" s="34" t="n">
        <v>-575</v>
      </c>
      <c r="H14" s="183">
        <f>BalanceSheet!H26-BalanceSheet!G26</f>
        <v/>
      </c>
      <c r="I14" s="183">
        <f>BalanceSheet!I26-BalanceSheet!H26</f>
        <v/>
      </c>
    </row>
    <row r="15" ht="14" customHeight="1" thickBot="1">
      <c r="A15" s="18" t="inlineStr">
        <is>
          <t>Other Assets/Liabilities</t>
        </is>
      </c>
      <c r="B15" s="205" t="n"/>
      <c r="C15" s="34" t="n">
        <v>-10820</v>
      </c>
      <c r="D15" s="34" t="n">
        <v>12865</v>
      </c>
      <c r="E15" s="34" t="n">
        <v>665</v>
      </c>
      <c r="F15" s="34" t="n">
        <v>4291</v>
      </c>
      <c r="G15" s="34" t="n">
        <v>3455</v>
      </c>
      <c r="H15" s="183" t="n">
        <v>0</v>
      </c>
      <c r="I15" s="183" t="n">
        <v>0</v>
      </c>
    </row>
    <row r="16">
      <c r="A16" s="18" t="inlineStr">
        <is>
          <t>Changes in Working Capital</t>
        </is>
      </c>
      <c r="B16" s="205" t="n"/>
      <c r="C16" s="49" t="n">
        <v>-9497</v>
      </c>
      <c r="D16" s="49" t="n">
        <v>10808</v>
      </c>
      <c r="E16" s="49" t="n">
        <v>1496</v>
      </c>
      <c r="F16" s="49" t="n">
        <v>2533</v>
      </c>
      <c r="G16" s="49" t="n">
        <v>2666</v>
      </c>
      <c r="H16" s="181">
        <f>SUM(H12:H14)</f>
        <v/>
      </c>
      <c r="I16" s="181">
        <f>SUM(I12:I14)</f>
        <v/>
      </c>
      <c r="J16" s="22" t="n"/>
      <c r="K16" s="22" t="n"/>
    </row>
    <row r="17" ht="14" customHeight="1" thickBot="1">
      <c r="C17" s="34" t="n"/>
      <c r="D17" s="34" t="n"/>
      <c r="E17" s="34" t="n"/>
      <c r="F17" s="34" t="n"/>
      <c r="G17" s="34" t="n"/>
      <c r="H17" s="183" t="n"/>
      <c r="I17" s="183" t="n"/>
    </row>
    <row r="18">
      <c r="A18" s="19" t="inlineStr">
        <is>
          <t>Net Operating Cash Flow</t>
        </is>
      </c>
      <c r="B18" s="206" t="n"/>
      <c r="C18" s="49" t="n">
        <v>-244</v>
      </c>
      <c r="D18" s="49" t="n">
        <v>6032</v>
      </c>
      <c r="E18" s="49" t="n">
        <v>4978</v>
      </c>
      <c r="F18" s="49" t="n">
        <v>8772</v>
      </c>
      <c r="G18" s="49" t="n">
        <v>3597</v>
      </c>
      <c r="H18" s="181">
        <f>H10+H16</f>
        <v/>
      </c>
      <c r="I18" s="181">
        <f>I10+I16</f>
        <v/>
      </c>
    </row>
    <row r="19">
      <c r="C19" s="34" t="n"/>
      <c r="D19" s="34" t="n"/>
      <c r="E19" s="34" t="n"/>
      <c r="F19" s="34" t="n"/>
      <c r="G19" s="34" t="n"/>
      <c r="H19" s="183" t="n"/>
      <c r="I19" s="183" t="n"/>
    </row>
    <row r="20">
      <c r="A20" s="33" t="inlineStr">
        <is>
          <t>Investing Activities</t>
        </is>
      </c>
      <c r="B20" s="33" t="n"/>
      <c r="C20" s="53" t="n"/>
      <c r="D20" s="53" t="n"/>
      <c r="E20" s="53" t="n"/>
      <c r="F20" s="53" t="n"/>
      <c r="G20" s="53" t="n"/>
      <c r="H20" s="182" t="n"/>
      <c r="I20" s="182" t="n"/>
      <c r="J20" s="33" t="n"/>
      <c r="K20" s="33" t="n"/>
      <c r="L20" s="33" t="n"/>
    </row>
    <row r="21">
      <c r="A21" s="44" t="inlineStr">
        <is>
          <t>Capital Expenditures</t>
        </is>
      </c>
      <c r="B21" s="207" t="n"/>
      <c r="C21" s="34" t="n">
        <v>-7199</v>
      </c>
      <c r="D21" s="34" t="n">
        <v>-7920</v>
      </c>
      <c r="E21" s="34" t="n">
        <v>-6947</v>
      </c>
      <c r="F21" s="34" t="n">
        <v>-6095</v>
      </c>
      <c r="G21" s="34" t="n">
        <v>-3403</v>
      </c>
      <c r="H21" s="183">
        <f>$H$84*IncomeStatement!H5</f>
        <v/>
      </c>
      <c r="I21" s="183">
        <f>$H$84*IncomeStatement!I5</f>
        <v/>
      </c>
    </row>
    <row r="22">
      <c r="A22" s="18" t="inlineStr">
        <is>
          <t>Net Assets from Acquisitions</t>
        </is>
      </c>
      <c r="B22" s="205" t="n"/>
      <c r="C22" s="34" t="n">
        <v>-2271</v>
      </c>
      <c r="D22" s="34" t="n">
        <v>-6087</v>
      </c>
      <c r="E22" s="34" t="n">
        <v>-1</v>
      </c>
      <c r="F22" s="34" t="n">
        <v>-68</v>
      </c>
      <c r="G22" s="34" t="n">
        <v>-85</v>
      </c>
      <c r="H22" s="183" t="n">
        <v>0</v>
      </c>
      <c r="I22" s="183" t="n">
        <v>0</v>
      </c>
    </row>
    <row r="23">
      <c r="A23" s="18" t="inlineStr">
        <is>
          <t>Sale of Fixed Assets &amp; Businesses</t>
        </is>
      </c>
      <c r="B23" s="205" t="n"/>
      <c r="C23" s="34" t="n">
        <v>69671</v>
      </c>
      <c r="D23" s="34" t="n">
        <v>10438</v>
      </c>
      <c r="E23" s="34" t="n">
        <v>12547</v>
      </c>
      <c r="F23" s="34" t="n">
        <v>17648</v>
      </c>
      <c r="G23" s="34" t="n">
        <v>22657</v>
      </c>
      <c r="H23" s="183" t="n">
        <v>0</v>
      </c>
      <c r="I23" s="183" t="n">
        <v>0</v>
      </c>
    </row>
    <row r="24">
      <c r="A24" s="18" t="inlineStr">
        <is>
          <t>Purchase/Sale of Investments</t>
        </is>
      </c>
      <c r="B24" s="205" t="n"/>
      <c r="C24" s="34" t="n">
        <v>0</v>
      </c>
      <c r="D24" s="34" t="n">
        <v>0</v>
      </c>
      <c r="E24" s="34" t="n">
        <v>0</v>
      </c>
      <c r="F24" s="34" t="n">
        <v>-1616</v>
      </c>
      <c r="G24" s="34" t="n">
        <v>-1352</v>
      </c>
      <c r="H24" s="183" t="n">
        <v>0</v>
      </c>
      <c r="I24" s="183" t="n">
        <v>0</v>
      </c>
    </row>
    <row r="25" ht="14" customHeight="1" thickBot="1">
      <c r="A25" s="18" t="inlineStr">
        <is>
          <t>Other Funds</t>
        </is>
      </c>
      <c r="B25" s="205" t="n"/>
      <c r="C25" s="34" t="n">
        <v>-10999</v>
      </c>
      <c r="D25" s="34" t="n">
        <v>10133</v>
      </c>
      <c r="E25" s="34" t="n">
        <v>12681</v>
      </c>
      <c r="F25" s="34" t="n">
        <v>-930</v>
      </c>
      <c r="G25" s="34" t="n">
        <v>-1175</v>
      </c>
      <c r="H25" s="183" t="n">
        <v>0</v>
      </c>
      <c r="I25" s="183" t="n">
        <v>0</v>
      </c>
      <c r="Q25" s="42" t="n"/>
    </row>
    <row r="26">
      <c r="A26" s="19" t="inlineStr">
        <is>
          <t>Net Investing Cash Flow</t>
        </is>
      </c>
      <c r="B26" s="206" t="n"/>
      <c r="C26" s="49" t="n">
        <v>49202</v>
      </c>
      <c r="D26" s="49" t="n">
        <v>6564</v>
      </c>
      <c r="E26" s="49" t="n">
        <v>18280</v>
      </c>
      <c r="F26" s="49" t="n">
        <v>8939</v>
      </c>
      <c r="G26" s="49" t="n">
        <v>16642</v>
      </c>
      <c r="H26" s="181">
        <f>SUM(H21:H25)</f>
        <v/>
      </c>
      <c r="I26" s="181">
        <f>SUM(I21:I25)</f>
        <v/>
      </c>
      <c r="J26" s="56" t="n"/>
      <c r="K26" s="56" t="n"/>
      <c r="Q26" s="42" t="n"/>
    </row>
    <row r="27">
      <c r="C27" s="34" t="n"/>
      <c r="D27" s="34" t="n"/>
      <c r="E27" s="34" t="n"/>
      <c r="F27" s="34" t="n"/>
      <c r="G27" s="34" t="n"/>
      <c r="H27" s="183" t="n"/>
      <c r="I27" s="183" t="n"/>
    </row>
    <row r="28">
      <c r="A28" s="33" t="inlineStr">
        <is>
          <t>Financing Activities</t>
        </is>
      </c>
      <c r="B28" s="33" t="n"/>
      <c r="C28" s="53" t="n"/>
      <c r="D28" s="53" t="n"/>
      <c r="E28" s="53" t="n"/>
      <c r="F28" s="53" t="n"/>
      <c r="G28" s="53" t="n"/>
      <c r="H28" s="182" t="n"/>
      <c r="I28" s="182" t="n"/>
      <c r="J28" s="33" t="n"/>
      <c r="K28" s="33" t="n"/>
      <c r="L28" s="33" t="n"/>
    </row>
    <row r="29">
      <c r="A29" s="18" t="inlineStr">
        <is>
          <t>Change in Current Debt</t>
        </is>
      </c>
      <c r="B29" s="205" t="n"/>
      <c r="C29" s="34" t="n">
        <v>-1135</v>
      </c>
      <c r="D29" s="34" t="n">
        <v>1794</v>
      </c>
      <c r="E29" s="34" t="n">
        <v>-4343</v>
      </c>
      <c r="F29" s="34" t="n">
        <v>280</v>
      </c>
      <c r="G29" s="34" t="n">
        <v>-4168</v>
      </c>
      <c r="H29" s="183" t="n">
        <v>0</v>
      </c>
      <c r="I29" s="183" t="n">
        <v>0</v>
      </c>
      <c r="J29" s="33" t="n"/>
      <c r="K29" s="33" t="n"/>
      <c r="L29" s="33" t="n"/>
    </row>
    <row r="30" ht="14" customHeight="1" thickBot="1">
      <c r="A30" s="18" t="inlineStr">
        <is>
          <t>Change in Long-Term Debt</t>
        </is>
      </c>
      <c r="B30" s="205" t="n"/>
      <c r="C30" s="34" t="n">
        <v>-57276</v>
      </c>
      <c r="D30" s="34" t="n">
        <v>-10746</v>
      </c>
      <c r="E30" s="34" t="n">
        <v>-17199</v>
      </c>
      <c r="F30" s="34" t="n">
        <v>-14382</v>
      </c>
      <c r="G30" s="34" t="n">
        <v>-14848</v>
      </c>
      <c r="H30" s="183" t="n">
        <v>0</v>
      </c>
      <c r="I30" s="183" t="n">
        <v>0</v>
      </c>
      <c r="J30" s="33" t="n"/>
      <c r="K30" s="33" t="n"/>
      <c r="L30" s="33" t="n"/>
    </row>
    <row r="31">
      <c r="A31" s="18" t="inlineStr">
        <is>
          <t>Issuance/Reduction of Debt, Net</t>
        </is>
      </c>
      <c r="B31" s="205" t="n"/>
      <c r="C31" s="49" t="n">
        <v>-58411</v>
      </c>
      <c r="D31" s="49" t="n">
        <v>-8952</v>
      </c>
      <c r="E31" s="49" t="n">
        <v>-21542</v>
      </c>
      <c r="F31" s="49" t="n">
        <v>-14102</v>
      </c>
      <c r="G31" s="49" t="n">
        <v>-19016</v>
      </c>
      <c r="H31" s="181">
        <f>SUM(H29:H30)</f>
        <v/>
      </c>
      <c r="I31" s="181">
        <f>SUM(I29:I30)</f>
        <v/>
      </c>
    </row>
    <row r="32">
      <c r="A32" s="18" t="n"/>
      <c r="B32" s="205" t="n"/>
      <c r="C32" s="56" t="n"/>
      <c r="D32" s="56" t="n"/>
      <c r="E32" s="56" t="n"/>
      <c r="F32" s="56" t="n"/>
      <c r="G32" s="56" t="n"/>
      <c r="H32" s="183" t="n"/>
      <c r="I32" s="183" t="n"/>
    </row>
    <row r="33">
      <c r="A33" s="18" t="inlineStr">
        <is>
          <t>Preferred Dividends</t>
        </is>
      </c>
      <c r="B33" s="205" t="n"/>
      <c r="C33" s="56" t="n">
        <v>-656</v>
      </c>
      <c r="D33" s="56" t="n">
        <v>-436</v>
      </c>
      <c r="E33" s="56" t="n">
        <v>-448</v>
      </c>
      <c r="F33" s="56" t="n">
        <v>-460</v>
      </c>
      <c r="G33" s="56" t="n">
        <v>-474</v>
      </c>
      <c r="H33" s="183">
        <f>IncomeStatement!H20*-1</f>
        <v/>
      </c>
      <c r="I33" s="183">
        <f>IncomeStatement!I20*-1</f>
        <v/>
      </c>
    </row>
    <row r="34" ht="14" customHeight="1" thickBot="1">
      <c r="A34" s="44" t="inlineStr">
        <is>
          <t>Common Dividends</t>
        </is>
      </c>
      <c r="B34" s="207" t="n"/>
      <c r="C34" s="56" t="n">
        <v>-8150</v>
      </c>
      <c r="D34" s="56" t="n">
        <v>-8214</v>
      </c>
      <c r="E34" s="56" t="n">
        <v>-4026</v>
      </c>
      <c r="F34" s="56" t="n">
        <v>-189</v>
      </c>
      <c r="G34" s="56" t="n">
        <v>-174</v>
      </c>
      <c r="H34" s="183">
        <f>($G$34/IncomeStatement!$G$21)*IncomeStatement!H21</f>
        <v/>
      </c>
      <c r="I34" s="183">
        <f>($G$34/IncomeStatement!$G$21)*IncomeStatement!I21</f>
        <v/>
      </c>
    </row>
    <row r="35">
      <c r="A35" s="18" t="inlineStr">
        <is>
          <t>Cash Dividends Paid</t>
        </is>
      </c>
      <c r="B35" s="205" t="n"/>
      <c r="C35" s="49" t="n">
        <v>-8806</v>
      </c>
      <c r="D35" s="49" t="n">
        <v>-8650</v>
      </c>
      <c r="E35" s="49" t="n">
        <v>-4474</v>
      </c>
      <c r="F35" s="49" t="n">
        <v>-649</v>
      </c>
      <c r="G35" s="49" t="n">
        <v>-648</v>
      </c>
      <c r="H35" s="181">
        <f>SUM(H33:H34)</f>
        <v/>
      </c>
      <c r="I35" s="181">
        <f>SUM(I33:I34)</f>
        <v/>
      </c>
    </row>
    <row r="36">
      <c r="A36" s="18" t="n"/>
      <c r="B36" s="205" t="n"/>
      <c r="C36" s="56" t="n"/>
      <c r="D36" s="56" t="n"/>
      <c r="E36" s="56" t="n"/>
      <c r="F36" s="56" t="n"/>
      <c r="G36" s="56" t="n"/>
      <c r="H36" s="183" t="n"/>
      <c r="I36" s="183" t="n"/>
    </row>
    <row r="37">
      <c r="A37" s="18" t="inlineStr">
        <is>
          <t>Change in Capital Stock</t>
        </is>
      </c>
      <c r="B37" s="205" t="n"/>
      <c r="C37" s="34" t="n">
        <v>-21429</v>
      </c>
      <c r="D37" s="34" t="n">
        <v>-2550</v>
      </c>
      <c r="E37" s="34" t="n">
        <v>-17</v>
      </c>
      <c r="F37" s="34" t="n">
        <v>0</v>
      </c>
      <c r="G37" s="34" t="n">
        <v>0</v>
      </c>
      <c r="H37" s="183" t="n">
        <v>0</v>
      </c>
      <c r="I37" s="183" t="n">
        <v>0</v>
      </c>
    </row>
    <row r="38" ht="14" customHeight="1" thickBot="1">
      <c r="A38" s="18" t="inlineStr">
        <is>
          <t>Other Funds</t>
        </is>
      </c>
      <c r="B38" s="205" t="n"/>
      <c r="C38" s="34" t="n">
        <v>-485</v>
      </c>
      <c r="D38" s="34" t="n">
        <v>1006</v>
      </c>
      <c r="E38" s="34" t="n">
        <v>-5774</v>
      </c>
      <c r="F38" s="34" t="n">
        <v>-1382</v>
      </c>
      <c r="G38" s="34" t="n">
        <v>-188</v>
      </c>
      <c r="H38" s="183" t="n">
        <v>0</v>
      </c>
      <c r="I38" s="183" t="n">
        <v>0</v>
      </c>
    </row>
    <row r="39">
      <c r="A39" s="19" t="inlineStr">
        <is>
          <t>Net Financing Cash Flow</t>
        </is>
      </c>
      <c r="B39" s="206" t="n"/>
      <c r="C39" s="49" t="n">
        <v>-89131</v>
      </c>
      <c r="D39" s="49" t="n">
        <v>-19146</v>
      </c>
      <c r="E39" s="49" t="n">
        <v>-31807</v>
      </c>
      <c r="F39" s="49" t="n">
        <v>-16133</v>
      </c>
      <c r="G39" s="49" t="n">
        <v>-19852</v>
      </c>
      <c r="H39" s="181">
        <f>H31+H35+H37+H38</f>
        <v/>
      </c>
      <c r="I39" s="181">
        <f>I31+I35+I37+I38</f>
        <v/>
      </c>
      <c r="J39" s="56" t="n"/>
      <c r="K39" s="56" t="n"/>
    </row>
    <row r="40" ht="14" customHeight="1" thickBot="1">
      <c r="C40" s="34" t="n"/>
      <c r="D40" s="34" t="n"/>
      <c r="E40" s="34" t="n"/>
      <c r="F40" s="34" t="n"/>
      <c r="G40" s="34" t="n"/>
      <c r="H40" s="183" t="n"/>
      <c r="I40" s="183" t="n"/>
    </row>
    <row r="41" ht="14" customFormat="1" customHeight="1" s="33" thickBot="1">
      <c r="A41" s="33" t="inlineStr">
        <is>
          <t>Net Change in Cash</t>
        </is>
      </c>
      <c r="C41" s="47" t="n">
        <v>-40173</v>
      </c>
      <c r="D41" s="47" t="n">
        <v>-6550</v>
      </c>
      <c r="E41" s="47" t="n">
        <v>-8549</v>
      </c>
      <c r="F41" s="47" t="n">
        <v>1578</v>
      </c>
      <c r="G41" s="47" t="n">
        <v>387</v>
      </c>
      <c r="H41" s="178">
        <f>H39+H26+H18</f>
        <v/>
      </c>
      <c r="I41" s="178">
        <f>I39+I26+I18</f>
        <v/>
      </c>
    </row>
    <row r="42" ht="14" customHeight="1" thickTop="1">
      <c r="A42" s="42" t="n"/>
      <c r="B42" s="42" t="n"/>
    </row>
    <row r="43" ht="16" customHeight="1">
      <c r="A43" s="162" t="inlineStr">
        <is>
          <t>Cash Flow Statement Items</t>
        </is>
      </c>
      <c r="B43" s="162" t="n"/>
      <c r="C43" s="211" t="inlineStr">
        <is>
          <t>Assumptions</t>
        </is>
      </c>
    </row>
    <row r="44">
      <c r="A44" s="33" t="inlineStr">
        <is>
          <t>Operating Activities</t>
        </is>
      </c>
      <c r="B44" s="33" t="n"/>
      <c r="C44" s="165" t="n"/>
      <c r="D44" s="165" t="n"/>
      <c r="E44" s="165" t="n"/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5" t="n"/>
      <c r="O44" s="165" t="n"/>
      <c r="P44" s="165" t="n"/>
      <c r="Q44" s="165" t="n"/>
      <c r="R44" s="165" t="n"/>
      <c r="S44" s="165" t="n"/>
      <c r="T44" s="165" t="n"/>
      <c r="U44" s="165" t="n"/>
      <c r="V44" s="165" t="n"/>
    </row>
    <row r="45">
      <c r="A45" s="18" t="inlineStr">
        <is>
          <t>Net Income</t>
        </is>
      </c>
      <c r="B45" s="205" t="n"/>
      <c r="C45" s="161" t="inlineStr">
        <is>
          <t>Current Year Net Income available to Common from Income Statement</t>
        </is>
      </c>
      <c r="D45" s="161" t="n"/>
      <c r="E45" s="161" t="n"/>
      <c r="F45" s="161" t="n"/>
      <c r="G45" s="161" t="n"/>
      <c r="H45" s="161" t="n"/>
      <c r="I45" s="161" t="n"/>
      <c r="J45" s="161" t="n"/>
      <c r="K45" s="161" t="n"/>
      <c r="L45" s="161" t="n"/>
      <c r="M45" s="161" t="n"/>
      <c r="N45" s="165" t="n"/>
      <c r="O45" s="165" t="n"/>
      <c r="P45" s="165" t="n"/>
      <c r="Q45" s="165" t="n"/>
      <c r="R45" s="165" t="n"/>
      <c r="S45" s="165" t="n"/>
      <c r="T45" s="165" t="n"/>
      <c r="U45" s="165" t="n"/>
      <c r="V45" s="165" t="n"/>
    </row>
    <row r="46">
      <c r="A46" s="18" t="inlineStr">
        <is>
          <t>Depreciation, Depletion &amp; Amortization</t>
        </is>
      </c>
      <c r="B46" s="205" t="n"/>
      <c r="C46" s="161" t="inlineStr">
        <is>
          <t>Current Year Depreciation &amp; Amortization from Income Statement</t>
        </is>
      </c>
      <c r="D46" s="161" t="n"/>
      <c r="E46" s="161" t="n"/>
      <c r="F46" s="161" t="n"/>
      <c r="G46" s="161" t="n"/>
      <c r="H46" s="161" t="n"/>
      <c r="I46" s="161" t="n"/>
      <c r="J46" s="161" t="n"/>
      <c r="K46" s="161" t="n"/>
      <c r="L46" s="161" t="n"/>
      <c r="M46" s="161" t="n"/>
      <c r="N46" s="165" t="n"/>
      <c r="O46" s="165" t="n"/>
      <c r="P46" s="165" t="n"/>
      <c r="Q46" s="165" t="n"/>
      <c r="R46" s="165" t="n"/>
      <c r="S46" s="165" t="n"/>
      <c r="T46" s="165" t="n"/>
      <c r="U46" s="165" t="n"/>
      <c r="V46" s="165" t="n"/>
    </row>
    <row r="47">
      <c r="A47" s="18" t="inlineStr">
        <is>
          <t>Deferred Taxes &amp; Investment Tax Credit</t>
        </is>
      </c>
      <c r="B47" s="205" t="n"/>
      <c r="C47" s="161" t="inlineStr">
        <is>
          <t>Assume Zero</t>
        </is>
      </c>
      <c r="D47" s="161" t="n"/>
      <c r="E47" s="161" t="n"/>
      <c r="F47" s="161" t="n"/>
      <c r="G47" s="161" t="n"/>
      <c r="H47" s="161" t="n"/>
      <c r="I47" s="161" t="n"/>
      <c r="J47" s="161" t="n"/>
      <c r="K47" s="161" t="n"/>
      <c r="L47" s="161" t="n"/>
      <c r="M47" s="161" t="n"/>
      <c r="N47" s="165" t="n"/>
      <c r="O47" s="165" t="n"/>
      <c r="P47" s="165" t="n"/>
      <c r="Q47" s="165" t="n"/>
      <c r="R47" s="165" t="n"/>
      <c r="S47" s="165" t="n"/>
      <c r="T47" s="165" t="n"/>
      <c r="U47" s="165" t="n"/>
      <c r="V47" s="165" t="n"/>
    </row>
    <row r="48">
      <c r="A48" s="18" t="inlineStr">
        <is>
          <t>Other Funds</t>
        </is>
      </c>
      <c r="B48" s="205" t="n"/>
      <c r="C48" s="161" t="inlineStr">
        <is>
          <t>Assume Zero</t>
        </is>
      </c>
      <c r="D48" s="161" t="n"/>
      <c r="E48" s="161" t="n"/>
      <c r="F48" s="161" t="n"/>
      <c r="G48" s="161" t="n"/>
      <c r="H48" s="161" t="n"/>
      <c r="I48" s="161" t="n"/>
      <c r="J48" s="161" t="n"/>
      <c r="K48" s="161" t="n"/>
      <c r="L48" s="161" t="n"/>
      <c r="M48" s="161" t="n"/>
      <c r="N48" s="165" t="n"/>
      <c r="O48" s="165" t="n"/>
      <c r="P48" s="165" t="n"/>
      <c r="Q48" s="165" t="n"/>
      <c r="R48" s="165" t="n"/>
      <c r="S48" s="165" t="n"/>
      <c r="T48" s="165" t="n"/>
      <c r="U48" s="165" t="n"/>
      <c r="V48" s="165" t="n"/>
    </row>
    <row r="49">
      <c r="A49" s="19" t="inlineStr">
        <is>
          <t>Funds from Operations</t>
        </is>
      </c>
      <c r="B49" s="206" t="n"/>
      <c r="C49" s="160" t="inlineStr">
        <is>
          <t>Net Income + Depreciation, Depletion &amp; Amortization + Deferred Taxes &amp; Investment Tax Credit + Other Funds</t>
        </is>
      </c>
      <c r="D49" s="161" t="n"/>
      <c r="E49" s="161" t="n"/>
      <c r="F49" s="161" t="n"/>
      <c r="G49" s="161" t="n"/>
      <c r="H49" s="161" t="n"/>
      <c r="I49" s="161" t="n"/>
      <c r="J49" s="161" t="n"/>
      <c r="K49" s="161" t="n"/>
      <c r="L49" s="161" t="n"/>
      <c r="M49" s="161" t="n"/>
      <c r="N49" s="165" t="n"/>
      <c r="O49" s="165" t="n"/>
      <c r="P49" s="165" t="n"/>
      <c r="Q49" s="165" t="n"/>
      <c r="R49" s="165" t="n"/>
      <c r="S49" s="165" t="n"/>
      <c r="T49" s="165" t="n"/>
      <c r="U49" s="165" t="n"/>
      <c r="V49" s="165" t="n"/>
    </row>
    <row r="50">
      <c r="A50" s="165" t="n"/>
      <c r="B50" s="165" t="n"/>
      <c r="C50" s="161" t="n"/>
      <c r="D50" s="161" t="n"/>
      <c r="E50" s="161" t="n"/>
      <c r="F50" s="161" t="n"/>
      <c r="G50" s="161" t="n"/>
      <c r="H50" s="161" t="n"/>
      <c r="I50" s="161" t="n"/>
      <c r="J50" s="161" t="n"/>
      <c r="K50" s="161" t="n"/>
      <c r="L50" s="161" t="n"/>
      <c r="M50" s="161" t="n"/>
      <c r="N50" s="165" t="n"/>
      <c r="O50" s="165" t="n"/>
      <c r="P50" s="165" t="n"/>
      <c r="Q50" s="165" t="n"/>
      <c r="R50" s="165" t="n"/>
      <c r="S50" s="165" t="n"/>
      <c r="T50" s="165" t="n"/>
      <c r="U50" s="165" t="n"/>
      <c r="V50" s="165" t="n"/>
    </row>
    <row r="51">
      <c r="A51" s="18" t="inlineStr">
        <is>
          <t>Change in Receivables (Previous FY - Current FY)</t>
        </is>
      </c>
      <c r="B51" s="205" t="n"/>
      <c r="C51" s="161" t="inlineStr">
        <is>
          <t>Previous Year Accounts Receivable - Current Year Accounts Receivable from Balance Sheet</t>
        </is>
      </c>
      <c r="D51" s="161" t="n"/>
      <c r="E51" s="161" t="n"/>
      <c r="F51" s="161" t="n"/>
      <c r="G51" s="161" t="n"/>
      <c r="H51" s="161" t="n"/>
      <c r="I51" s="161" t="n"/>
      <c r="J51" s="161" t="n"/>
      <c r="K51" s="161" t="n"/>
      <c r="L51" s="161" t="n"/>
      <c r="M51" s="161" t="n"/>
      <c r="N51" s="165" t="n"/>
      <c r="O51" s="165" t="n"/>
      <c r="P51" s="165" t="n"/>
      <c r="Q51" s="165" t="n"/>
      <c r="R51" s="165" t="n"/>
      <c r="S51" s="165" t="n"/>
      <c r="T51" s="165" t="n"/>
      <c r="U51" s="165" t="n"/>
      <c r="V51" s="165" t="n"/>
    </row>
    <row r="52">
      <c r="A52" s="18" t="inlineStr">
        <is>
          <t>Change in Inventories (Previous FY - Current FY)</t>
        </is>
      </c>
      <c r="B52" s="205" t="n"/>
      <c r="C52" s="161" t="inlineStr">
        <is>
          <t>Previous Year Accounts Inventories - Current Year Accounts Inventories from Balance Sheet</t>
        </is>
      </c>
      <c r="D52" s="161" t="n"/>
      <c r="E52" s="161" t="n"/>
      <c r="F52" s="161" t="n"/>
      <c r="G52" s="161" t="n"/>
      <c r="H52" s="161" t="n"/>
      <c r="I52" s="161" t="n"/>
      <c r="J52" s="161" t="n"/>
      <c r="K52" s="161" t="n"/>
      <c r="L52" s="161" t="n"/>
      <c r="M52" s="161" t="n"/>
      <c r="N52" s="165" t="n"/>
      <c r="O52" s="165" t="n"/>
      <c r="P52" s="165" t="n"/>
      <c r="Q52" s="165" t="n"/>
      <c r="R52" s="165" t="n"/>
      <c r="S52" s="165" t="n"/>
      <c r="T52" s="165" t="n"/>
      <c r="U52" s="165" t="n"/>
      <c r="V52" s="165" t="n"/>
    </row>
    <row r="53">
      <c r="A53" s="18" t="inlineStr">
        <is>
          <t>Change in Accounts Payable (Current FY - Previous FY)</t>
        </is>
      </c>
      <c r="B53" s="205" t="n"/>
      <c r="C53" s="161" t="inlineStr">
        <is>
          <t>Current Year Accounts Payable - Previous Year Accounts Payable from Balance Sheet</t>
        </is>
      </c>
      <c r="D53" s="161" t="n"/>
      <c r="E53" s="161" t="n"/>
      <c r="F53" s="161" t="n"/>
      <c r="G53" s="161" t="n"/>
      <c r="H53" s="161" t="n"/>
      <c r="I53" s="161" t="n"/>
      <c r="J53" s="161" t="n"/>
      <c r="K53" s="161" t="n"/>
      <c r="L53" s="161" t="n"/>
      <c r="M53" s="161" t="n"/>
      <c r="N53" s="165" t="n"/>
      <c r="O53" s="165" t="n"/>
      <c r="P53" s="165" t="n"/>
      <c r="Q53" s="165" t="n"/>
      <c r="R53" s="165" t="n"/>
      <c r="S53" s="165" t="n"/>
      <c r="T53" s="165" t="n"/>
      <c r="U53" s="165" t="n"/>
      <c r="V53" s="165" t="n"/>
    </row>
    <row r="54">
      <c r="A54" s="18" t="inlineStr">
        <is>
          <t>Changes in Working Capital</t>
        </is>
      </c>
      <c r="B54" s="205" t="n"/>
      <c r="C54" s="161" t="inlineStr">
        <is>
          <t>Change in Receivables + Change in Inventories +  Change in Accounts Payable</t>
        </is>
      </c>
      <c r="D54" s="161" t="n"/>
      <c r="E54" s="161" t="n"/>
      <c r="F54" s="161" t="n"/>
      <c r="G54" s="161" t="n"/>
      <c r="H54" s="161" t="n"/>
      <c r="I54" s="161" t="n"/>
      <c r="J54" s="161" t="n"/>
      <c r="K54" s="161" t="n"/>
      <c r="L54" s="161" t="n"/>
      <c r="M54" s="161" t="n"/>
      <c r="N54" s="165" t="n"/>
      <c r="O54" s="165" t="n"/>
      <c r="P54" s="165" t="n"/>
      <c r="Q54" s="165" t="n"/>
      <c r="R54" s="165" t="n"/>
      <c r="S54" s="165" t="n"/>
      <c r="T54" s="165" t="n"/>
      <c r="U54" s="165" t="n"/>
      <c r="V54" s="165" t="n"/>
    </row>
    <row r="55">
      <c r="A55" s="165" t="n"/>
      <c r="B55" s="165" t="n"/>
      <c r="C55" s="161" t="n"/>
      <c r="D55" s="161" t="n"/>
      <c r="E55" s="161" t="n"/>
      <c r="F55" s="161" t="n"/>
      <c r="G55" s="161" t="n"/>
      <c r="H55" s="161" t="n"/>
      <c r="I55" s="161" t="n"/>
      <c r="J55" s="161" t="n"/>
      <c r="K55" s="161" t="n"/>
      <c r="L55" s="161" t="n"/>
      <c r="M55" s="161" t="n"/>
      <c r="N55" s="165" t="n"/>
      <c r="O55" s="165" t="n"/>
      <c r="P55" s="165" t="n"/>
      <c r="Q55" s="165" t="n"/>
      <c r="R55" s="165" t="n"/>
      <c r="S55" s="165" t="n"/>
      <c r="T55" s="165" t="n"/>
      <c r="U55" s="165" t="n"/>
      <c r="V55" s="165" t="n"/>
    </row>
    <row r="56">
      <c r="A56" s="19" t="inlineStr">
        <is>
          <t>Net Operating Cash Flow</t>
        </is>
      </c>
      <c r="B56" s="206" t="n"/>
      <c r="C56" s="160" t="inlineStr">
        <is>
          <t xml:space="preserve">Funds from Operations + Changes in Working Capital </t>
        </is>
      </c>
      <c r="D56" s="161" t="n"/>
      <c r="E56" s="161" t="n"/>
      <c r="F56" s="161" t="n"/>
      <c r="G56" s="161" t="n"/>
      <c r="H56" s="161" t="n"/>
      <c r="I56" s="161" t="n"/>
      <c r="J56" s="161" t="n"/>
      <c r="K56" s="161" t="n"/>
      <c r="L56" s="161" t="n"/>
      <c r="M56" s="161" t="n"/>
      <c r="N56" s="165" t="n"/>
      <c r="O56" s="165" t="n"/>
      <c r="P56" s="165" t="n"/>
      <c r="Q56" s="165" t="n"/>
      <c r="R56" s="165" t="n"/>
      <c r="S56" s="165" t="n"/>
      <c r="T56" s="165" t="n"/>
      <c r="U56" s="165" t="n"/>
      <c r="V56" s="165" t="n"/>
    </row>
    <row r="57">
      <c r="A57" s="165" t="n"/>
      <c r="B57" s="165" t="n"/>
      <c r="C57" s="161" t="n"/>
      <c r="D57" s="161" t="n"/>
      <c r="E57" s="161" t="n"/>
      <c r="F57" s="161" t="n"/>
      <c r="G57" s="161" t="n"/>
      <c r="H57" s="161" t="n"/>
      <c r="I57" s="161" t="n"/>
      <c r="J57" s="161" t="n"/>
      <c r="K57" s="161" t="n"/>
      <c r="L57" s="161" t="n"/>
      <c r="M57" s="161" t="n"/>
      <c r="N57" s="165" t="n"/>
      <c r="O57" s="165" t="n"/>
      <c r="P57" s="165" t="n"/>
      <c r="Q57" s="165" t="n"/>
      <c r="R57" s="165" t="n"/>
      <c r="S57" s="165" t="n"/>
      <c r="T57" s="165" t="n"/>
      <c r="U57" s="165" t="n"/>
      <c r="V57" s="165" t="n"/>
    </row>
    <row r="58">
      <c r="A58" s="33" t="inlineStr">
        <is>
          <t>Investing Activities</t>
        </is>
      </c>
      <c r="B58" s="33" t="n"/>
      <c r="C58" s="161" t="n"/>
      <c r="D58" s="161" t="n"/>
      <c r="E58" s="161" t="n"/>
      <c r="F58" s="161" t="n"/>
      <c r="G58" s="161" t="n"/>
      <c r="H58" s="161" t="n"/>
      <c r="I58" s="161" t="n"/>
      <c r="J58" s="161" t="n"/>
      <c r="K58" s="161" t="n"/>
      <c r="L58" s="161" t="n"/>
      <c r="M58" s="161" t="n"/>
      <c r="N58" s="165" t="n"/>
      <c r="O58" s="165" t="n"/>
      <c r="P58" s="165" t="n"/>
      <c r="Q58" s="165" t="n"/>
      <c r="R58" s="165" t="n"/>
      <c r="S58" s="165" t="n"/>
      <c r="T58" s="165" t="n"/>
      <c r="U58" s="165" t="n"/>
      <c r="V58" s="165" t="n"/>
    </row>
    <row r="59">
      <c r="A59" s="18" t="inlineStr">
        <is>
          <t>Capital Expenditures</t>
        </is>
      </c>
      <c r="B59" s="205" t="n"/>
      <c r="C59" s="161" t="inlineStr">
        <is>
          <t xml:space="preserve">Last 5 yrs % of sales </t>
        </is>
      </c>
      <c r="D59" s="161" t="n"/>
      <c r="E59" s="161" t="n"/>
      <c r="F59" s="161" t="n"/>
      <c r="G59" s="161" t="n"/>
      <c r="H59" s="161" t="n"/>
      <c r="I59" s="161" t="n"/>
      <c r="J59" s="161" t="n"/>
      <c r="K59" s="161" t="n"/>
      <c r="L59" s="161" t="n"/>
      <c r="M59" s="161" t="n"/>
      <c r="N59" s="165" t="n"/>
      <c r="O59" s="165" t="n"/>
      <c r="P59" s="165" t="n"/>
      <c r="Q59" s="165" t="n"/>
      <c r="R59" s="165" t="n"/>
      <c r="S59" s="165" t="n"/>
      <c r="T59" s="165" t="n"/>
      <c r="U59" s="165" t="n"/>
      <c r="V59" s="165" t="n"/>
    </row>
    <row r="60">
      <c r="A60" s="18" t="inlineStr">
        <is>
          <t>Net Assets from Acquisitions</t>
        </is>
      </c>
      <c r="B60" s="205" t="n"/>
      <c r="C60" s="161" t="inlineStr">
        <is>
          <t>Assume zero &amp; unless otherwise indicated by company management</t>
        </is>
      </c>
      <c r="D60" s="161" t="n"/>
      <c r="E60" s="161" t="n"/>
      <c r="F60" s="161" t="n"/>
      <c r="G60" s="161" t="n"/>
      <c r="H60" s="161" t="n"/>
      <c r="I60" s="161" t="n"/>
      <c r="J60" s="161" t="n"/>
      <c r="K60" s="161" t="n"/>
      <c r="L60" s="161" t="n"/>
      <c r="M60" s="161" t="n"/>
      <c r="N60" s="165" t="n"/>
      <c r="O60" s="165" t="n"/>
      <c r="P60" s="165" t="n"/>
      <c r="Q60" s="165" t="n"/>
      <c r="R60" s="165" t="n"/>
      <c r="S60" s="165" t="n"/>
      <c r="T60" s="165" t="n"/>
      <c r="U60" s="165" t="n"/>
      <c r="V60" s="165" t="n"/>
    </row>
    <row r="61">
      <c r="A61" s="18" t="inlineStr">
        <is>
          <t>Sale of Fixed Assets &amp; Businesses</t>
        </is>
      </c>
      <c r="B61" s="205" t="n"/>
      <c r="C61" s="161" t="inlineStr">
        <is>
          <t>Assume zero &amp; unless otherwise indicated by company management</t>
        </is>
      </c>
      <c r="D61" s="161" t="n"/>
      <c r="E61" s="161" t="n"/>
      <c r="F61" s="161" t="n"/>
      <c r="G61" s="161" t="n"/>
      <c r="H61" s="161" t="n"/>
      <c r="I61" s="161" t="n"/>
      <c r="J61" s="161" t="n"/>
      <c r="K61" s="161" t="n"/>
      <c r="L61" s="161" t="n"/>
      <c r="M61" s="161" t="n"/>
      <c r="N61" s="165" t="n"/>
      <c r="O61" s="165" t="n"/>
      <c r="P61" s="165" t="n"/>
      <c r="Q61" s="165" t="n"/>
      <c r="R61" s="165" t="n"/>
      <c r="S61" s="165" t="n"/>
      <c r="T61" s="165" t="n"/>
      <c r="U61" s="165" t="n"/>
      <c r="V61" s="165" t="n"/>
    </row>
    <row r="62">
      <c r="A62" s="18" t="inlineStr">
        <is>
          <t>Purchase/Sale of Investments</t>
        </is>
      </c>
      <c r="B62" s="205" t="n"/>
      <c r="C62" s="161" t="inlineStr">
        <is>
          <t>Assume zero &amp; unless otherwise indicated by company management</t>
        </is>
      </c>
      <c r="D62" s="161" t="n"/>
      <c r="E62" s="161" t="n"/>
      <c r="F62" s="161" t="n"/>
      <c r="G62" s="161" t="n"/>
      <c r="H62" s="161" t="n"/>
      <c r="I62" s="161" t="n"/>
      <c r="J62" s="161" t="n"/>
      <c r="K62" s="161" t="n"/>
      <c r="L62" s="161" t="n"/>
      <c r="M62" s="161" t="n"/>
      <c r="N62" s="165" t="n"/>
      <c r="O62" s="165" t="n"/>
      <c r="P62" s="165" t="n"/>
      <c r="Q62" s="165" t="n"/>
      <c r="R62" s="165" t="n"/>
      <c r="S62" s="165" t="n"/>
      <c r="T62" s="165" t="n"/>
      <c r="U62" s="165" t="n"/>
      <c r="V62" s="165" t="n"/>
    </row>
    <row r="63">
      <c r="A63" s="18" t="inlineStr">
        <is>
          <t>Other Funds</t>
        </is>
      </c>
      <c r="B63" s="205" t="n"/>
      <c r="C63" s="161" t="inlineStr">
        <is>
          <t>Assume zero &amp; unless otherwise indicated by company management</t>
        </is>
      </c>
      <c r="D63" s="161" t="n"/>
      <c r="E63" s="161" t="n"/>
      <c r="F63" s="161" t="n"/>
      <c r="G63" s="161" t="n"/>
      <c r="H63" s="161" t="n"/>
      <c r="I63" s="161" t="n"/>
      <c r="J63" s="161" t="n"/>
      <c r="K63" s="161" t="n"/>
      <c r="L63" s="161" t="n"/>
      <c r="M63" s="161" t="n"/>
      <c r="N63" s="165" t="n"/>
      <c r="O63" s="165" t="n"/>
      <c r="P63" s="165" t="n"/>
      <c r="Q63" s="165" t="n"/>
      <c r="R63" s="165" t="n"/>
      <c r="S63" s="165" t="n"/>
      <c r="T63" s="165" t="n"/>
      <c r="U63" s="165" t="n"/>
      <c r="V63" s="165" t="n"/>
    </row>
    <row r="64">
      <c r="A64" s="19" t="inlineStr">
        <is>
          <t>Net Investing Cash Flow</t>
        </is>
      </c>
      <c r="B64" s="206" t="n"/>
      <c r="C64" s="214" t="inlineStr">
        <is>
          <t>Capital Expenditures + Net Assets from Acquisitions + Sale of Fixed Assets &amp; Businesses + Purchase/Sale of Investments + Other Funds</t>
        </is>
      </c>
      <c r="N64" s="165" t="n"/>
      <c r="O64" s="165" t="n"/>
      <c r="P64" s="165" t="n"/>
      <c r="Q64" s="165" t="n"/>
      <c r="R64" s="165" t="n"/>
      <c r="S64" s="165" t="n"/>
      <c r="T64" s="165" t="n"/>
      <c r="U64" s="165" t="n"/>
      <c r="V64" s="165" t="n"/>
    </row>
    <row r="65">
      <c r="A65" s="165" t="n"/>
      <c r="B65" s="165" t="n"/>
      <c r="N65" s="165" t="n"/>
      <c r="O65" s="165" t="n"/>
      <c r="P65" s="165" t="n"/>
      <c r="Q65" s="165" t="n"/>
      <c r="R65" s="165" t="n"/>
      <c r="S65" s="165" t="n"/>
      <c r="T65" s="165" t="n"/>
      <c r="U65" s="165" t="n"/>
      <c r="V65" s="165" t="n"/>
    </row>
    <row r="66">
      <c r="A66" s="33" t="inlineStr">
        <is>
          <t>Financing Activities</t>
        </is>
      </c>
      <c r="B66" s="33" t="n"/>
      <c r="C66" s="161" t="n"/>
      <c r="D66" s="161" t="n"/>
      <c r="E66" s="161" t="n"/>
      <c r="F66" s="161" t="n"/>
      <c r="G66" s="161" t="n"/>
      <c r="H66" s="161" t="n"/>
      <c r="I66" s="161" t="n"/>
      <c r="J66" s="161" t="n"/>
      <c r="K66" s="161" t="n"/>
      <c r="L66" s="161" t="n"/>
      <c r="M66" s="161" t="n"/>
      <c r="N66" s="165" t="n"/>
      <c r="O66" s="165" t="n"/>
      <c r="P66" s="165" t="n"/>
      <c r="Q66" s="165" t="n"/>
      <c r="R66" s="165" t="n"/>
      <c r="S66" s="165" t="n"/>
      <c r="T66" s="165" t="n"/>
      <c r="U66" s="165" t="n"/>
      <c r="V66" s="165" t="n"/>
    </row>
    <row r="67">
      <c r="A67" s="18" t="inlineStr">
        <is>
          <t>Change in Current Debt</t>
        </is>
      </c>
      <c r="B67" s="205" t="n"/>
      <c r="C67" s="161" t="inlineStr">
        <is>
          <t>Assume zero &amp; unless otherwise indicated by company management</t>
        </is>
      </c>
      <c r="D67" s="161" t="n"/>
      <c r="E67" s="161" t="n"/>
      <c r="F67" s="161" t="n"/>
      <c r="G67" s="161" t="n"/>
      <c r="H67" s="161" t="n"/>
      <c r="I67" s="161" t="n"/>
      <c r="J67" s="161" t="n"/>
      <c r="K67" s="161" t="n"/>
      <c r="L67" s="161" t="n"/>
      <c r="M67" s="161" t="n"/>
      <c r="N67" s="165" t="n"/>
      <c r="O67" s="165" t="n"/>
      <c r="P67" s="165" t="n"/>
      <c r="Q67" s="165" t="n"/>
      <c r="R67" s="165" t="n"/>
      <c r="S67" s="165" t="n"/>
      <c r="T67" s="165" t="n"/>
      <c r="U67" s="165" t="n"/>
      <c r="V67" s="165" t="n"/>
    </row>
    <row r="68">
      <c r="A68" s="18" t="inlineStr">
        <is>
          <t>Change in Long-Term Debt</t>
        </is>
      </c>
      <c r="B68" s="205" t="n"/>
      <c r="C68" s="161" t="inlineStr">
        <is>
          <t>Assume zero &amp; unless otherwise indicated by company management</t>
        </is>
      </c>
      <c r="D68" s="161" t="n"/>
      <c r="E68" s="161" t="n"/>
      <c r="F68" s="161" t="n"/>
      <c r="G68" s="161" t="n"/>
      <c r="H68" s="161" t="n"/>
      <c r="I68" s="161" t="n"/>
      <c r="J68" s="161" t="n"/>
      <c r="K68" s="161" t="n"/>
      <c r="L68" s="161" t="n"/>
      <c r="M68" s="161" t="n"/>
      <c r="N68" s="165" t="n"/>
      <c r="O68" s="165" t="n"/>
      <c r="P68" s="165" t="n"/>
      <c r="Q68" s="165" t="n"/>
      <c r="R68" s="165" t="n"/>
      <c r="S68" s="165" t="n"/>
      <c r="T68" s="165" t="n"/>
      <c r="U68" s="165" t="n"/>
      <c r="V68" s="165" t="n"/>
    </row>
    <row r="69">
      <c r="A69" s="18" t="inlineStr">
        <is>
          <t>Issuance/Reduction of Debt, Net</t>
        </is>
      </c>
      <c r="B69" s="205" t="n"/>
      <c r="C69" s="161" t="inlineStr">
        <is>
          <t>Change in Current Debt + Change in Long-Term Debt</t>
        </is>
      </c>
      <c r="D69" s="161" t="n"/>
      <c r="E69" s="161" t="n"/>
      <c r="F69" s="161" t="n"/>
      <c r="G69" s="161" t="n"/>
      <c r="H69" s="161" t="n"/>
      <c r="I69" s="161" t="n"/>
      <c r="J69" s="161" t="n"/>
      <c r="K69" s="161" t="n"/>
      <c r="L69" s="161" t="n"/>
      <c r="M69" s="161" t="n"/>
      <c r="N69" s="165" t="n"/>
      <c r="O69" s="165" t="n"/>
      <c r="P69" s="165" t="n"/>
      <c r="Q69" s="165" t="n"/>
      <c r="R69" s="165" t="n"/>
      <c r="S69" s="165" t="n"/>
      <c r="T69" s="165" t="n"/>
      <c r="U69" s="165" t="n"/>
      <c r="V69" s="165" t="n"/>
    </row>
    <row r="70">
      <c r="A70" s="18" t="n"/>
      <c r="B70" s="205" t="n"/>
      <c r="C70" s="161" t="n"/>
      <c r="D70" s="161" t="n"/>
      <c r="E70" s="161" t="n"/>
      <c r="F70" s="161" t="n"/>
      <c r="G70" s="161" t="n"/>
      <c r="H70" s="161" t="n"/>
      <c r="I70" s="161" t="n"/>
      <c r="J70" s="161" t="n"/>
      <c r="K70" s="161" t="n"/>
      <c r="L70" s="161" t="n"/>
      <c r="M70" s="161" t="n"/>
      <c r="N70" s="165" t="n"/>
      <c r="O70" s="165" t="n"/>
      <c r="P70" s="165" t="n"/>
      <c r="Q70" s="165" t="n"/>
      <c r="R70" s="165" t="n"/>
      <c r="S70" s="165" t="n"/>
      <c r="T70" s="165" t="n"/>
      <c r="U70" s="165" t="n"/>
      <c r="V70" s="165" t="n"/>
    </row>
    <row r="71">
      <c r="A71" s="18" t="inlineStr">
        <is>
          <t>Preferred Dividends</t>
        </is>
      </c>
      <c r="B71" s="205" t="n"/>
      <c r="C71" s="161" t="inlineStr">
        <is>
          <t>Current Preferred Dividends from Income Statement * -1,  Note: Change of Sign to Represent Cash Outflow</t>
        </is>
      </c>
      <c r="D71" s="161" t="n"/>
      <c r="E71" s="161" t="n"/>
      <c r="F71" s="161" t="n"/>
      <c r="G71" s="161" t="n"/>
      <c r="H71" s="161" t="n"/>
      <c r="I71" s="161" t="n"/>
      <c r="J71" s="161" t="n"/>
      <c r="K71" s="161" t="n"/>
      <c r="L71" s="161" t="n"/>
      <c r="M71" s="161" t="n"/>
      <c r="N71" s="165" t="n"/>
      <c r="O71" s="165" t="n"/>
      <c r="P71" s="165" t="n"/>
      <c r="Q71" s="165" t="n"/>
      <c r="R71" s="165" t="n"/>
      <c r="S71" s="165" t="n"/>
      <c r="T71" s="165" t="n"/>
      <c r="U71" s="165" t="n"/>
      <c r="V71" s="165" t="n"/>
    </row>
    <row r="72">
      <c r="A72" s="18" t="inlineStr">
        <is>
          <t>Common Dividends</t>
        </is>
      </c>
      <c r="B72" s="205" t="n"/>
      <c r="C72" s="216" t="inlineStr">
        <is>
          <t>Assume previous year's Dividend Payout Ratio: Previous Year Common Dividends / Previous Year Net Income available to Common from Income Statement * Current Year Net Income available to Common from Income Statement</t>
        </is>
      </c>
      <c r="N72" s="165" t="n"/>
      <c r="O72" s="165" t="n"/>
      <c r="P72" s="165" t="n"/>
      <c r="Q72" s="165" t="n"/>
      <c r="R72" s="165" t="n"/>
      <c r="S72" s="165" t="n"/>
      <c r="T72" s="165" t="n"/>
      <c r="U72" s="165" t="n"/>
      <c r="V72" s="165" t="n"/>
    </row>
    <row r="73" ht="12.75" customHeight="1">
      <c r="A73" s="18" t="n"/>
      <c r="B73" s="205" t="n"/>
      <c r="N73" s="165" t="n"/>
      <c r="O73" s="165" t="n"/>
      <c r="P73" s="165" t="n"/>
      <c r="Q73" s="165" t="n"/>
      <c r="R73" s="165" t="n"/>
      <c r="S73" s="165" t="n"/>
      <c r="T73" s="165" t="n"/>
      <c r="U73" s="165" t="n"/>
      <c r="V73" s="165" t="n"/>
    </row>
    <row r="74" ht="12.75" customHeight="1">
      <c r="A74" s="18" t="inlineStr">
        <is>
          <t>Cash Dividends Paid</t>
        </is>
      </c>
      <c r="B74" s="205" t="n"/>
      <c r="C74" s="161" t="inlineStr">
        <is>
          <t>Preferred Dividends + Common Dividends</t>
        </is>
      </c>
      <c r="D74" s="161" t="n"/>
      <c r="E74" s="161" t="n"/>
      <c r="F74" s="161" t="n"/>
      <c r="G74" s="161" t="n"/>
      <c r="H74" s="161" t="n"/>
      <c r="I74" s="161" t="n"/>
      <c r="J74" s="161" t="n"/>
      <c r="K74" s="215" t="n"/>
      <c r="L74" s="215" t="n"/>
      <c r="M74" s="215" t="n"/>
      <c r="N74" s="40" t="n"/>
      <c r="O74" s="40" t="n"/>
      <c r="P74" s="165" t="n"/>
      <c r="Q74" s="165" t="n"/>
      <c r="R74" s="165" t="n"/>
      <c r="S74" s="165" t="n"/>
      <c r="T74" s="165" t="n"/>
      <c r="U74" s="165" t="n"/>
      <c r="V74" s="165" t="n"/>
    </row>
    <row r="75">
      <c r="A75" s="18" t="n"/>
      <c r="B75" s="205" t="n"/>
      <c r="C75" s="215" t="n"/>
      <c r="D75" s="215" t="n"/>
      <c r="E75" s="215" t="n"/>
      <c r="F75" s="215" t="n"/>
      <c r="G75" s="215" t="n"/>
      <c r="H75" s="215" t="n"/>
      <c r="I75" s="215" t="n"/>
      <c r="J75" s="215" t="n"/>
      <c r="K75" s="215" t="n"/>
      <c r="L75" s="215" t="n"/>
      <c r="M75" s="215" t="n"/>
      <c r="N75" s="40" t="n"/>
      <c r="O75" s="40" t="n"/>
      <c r="P75" s="165" t="n"/>
      <c r="Q75" s="165" t="n"/>
      <c r="R75" s="165" t="n"/>
      <c r="S75" s="165" t="n"/>
      <c r="T75" s="165" t="n"/>
      <c r="U75" s="165" t="n"/>
      <c r="V75" s="165" t="n"/>
    </row>
    <row r="76">
      <c r="A76" s="18" t="inlineStr">
        <is>
          <t>Change in Capital Stock</t>
        </is>
      </c>
      <c r="B76" s="205" t="n"/>
      <c r="C76" s="161" t="inlineStr">
        <is>
          <t>Assume zero &amp; unless otherwise indicated by company management</t>
        </is>
      </c>
      <c r="D76" s="161" t="n"/>
      <c r="E76" s="161" t="n"/>
      <c r="F76" s="161" t="n"/>
      <c r="G76" s="161" t="n"/>
      <c r="H76" s="161" t="n"/>
      <c r="I76" s="161" t="n"/>
      <c r="J76" s="161" t="n"/>
      <c r="K76" s="161" t="n"/>
      <c r="L76" s="161" t="n"/>
      <c r="M76" s="161" t="n"/>
      <c r="N76" s="165" t="n"/>
      <c r="O76" s="165" t="n"/>
      <c r="P76" s="165" t="n"/>
      <c r="Q76" s="165" t="n"/>
      <c r="R76" s="165" t="n"/>
      <c r="S76" s="165" t="n"/>
      <c r="T76" s="165" t="n"/>
      <c r="U76" s="165" t="n"/>
      <c r="V76" s="165" t="n"/>
    </row>
    <row r="77">
      <c r="A77" s="18" t="inlineStr">
        <is>
          <t>Other Funds</t>
        </is>
      </c>
      <c r="B77" s="205" t="n"/>
      <c r="C77" s="161" t="inlineStr">
        <is>
          <t>Assume zero &amp; unless otherwise indicated by company management</t>
        </is>
      </c>
      <c r="D77" s="161" t="n"/>
      <c r="E77" s="161" t="n"/>
      <c r="F77" s="161" t="n"/>
      <c r="G77" s="161" t="n"/>
      <c r="H77" s="161" t="n"/>
      <c r="I77" s="161" t="n"/>
      <c r="J77" s="161" t="n"/>
      <c r="K77" s="161" t="n"/>
      <c r="L77" s="161" t="n"/>
      <c r="M77" s="161" t="n"/>
      <c r="N77" s="165" t="n"/>
      <c r="O77" s="165" t="n"/>
      <c r="P77" s="165" t="n"/>
      <c r="Q77" s="165" t="n"/>
      <c r="R77" s="165" t="n"/>
      <c r="S77" s="165" t="n"/>
      <c r="T77" s="165" t="n"/>
      <c r="U77" s="165" t="n"/>
      <c r="V77" s="165" t="n"/>
    </row>
    <row r="78">
      <c r="A78" s="19" t="inlineStr">
        <is>
          <t>Net Financing Cash Flow</t>
        </is>
      </c>
      <c r="B78" s="206" t="n"/>
      <c r="C78" s="160" t="inlineStr">
        <is>
          <t>Issuance/Reduction of Debt, Net + Cash Dividends Paid + Change in Capital Stock  + Other Funds</t>
        </is>
      </c>
      <c r="D78" s="161" t="n"/>
      <c r="E78" s="161" t="n"/>
      <c r="F78" s="161" t="n"/>
      <c r="G78" s="161" t="n"/>
      <c r="H78" s="161" t="n"/>
      <c r="I78" s="161" t="n"/>
      <c r="J78" s="161" t="n"/>
      <c r="K78" s="161" t="n"/>
      <c r="L78" s="161" t="n"/>
      <c r="M78" s="161" t="n"/>
      <c r="N78" s="165" t="n"/>
      <c r="O78" s="165" t="n"/>
      <c r="P78" s="165" t="n"/>
      <c r="Q78" s="165" t="n"/>
      <c r="R78" s="165" t="n"/>
      <c r="S78" s="165" t="n"/>
      <c r="T78" s="165" t="n"/>
      <c r="U78" s="165" t="n"/>
      <c r="V78" s="165" t="n"/>
    </row>
    <row r="79">
      <c r="A79" s="165" t="n"/>
      <c r="B79" s="165" t="n"/>
      <c r="C79" s="161" t="n"/>
      <c r="D79" s="161" t="n"/>
      <c r="E79" s="161" t="n"/>
      <c r="F79" s="161" t="n"/>
      <c r="G79" s="161" t="n"/>
      <c r="H79" s="161" t="n"/>
      <c r="I79" s="161" t="n"/>
      <c r="J79" s="161" t="n"/>
      <c r="K79" s="161" t="n"/>
      <c r="L79" s="161" t="n"/>
      <c r="M79" s="161" t="n"/>
      <c r="N79" s="165" t="n"/>
      <c r="O79" s="165" t="n"/>
      <c r="P79" s="165" t="n"/>
      <c r="Q79" s="165" t="n"/>
      <c r="R79" s="165" t="n"/>
      <c r="S79" s="165" t="n"/>
      <c r="T79" s="165" t="n"/>
      <c r="U79" s="165" t="n"/>
      <c r="V79" s="165" t="n"/>
    </row>
    <row r="80">
      <c r="A80" s="33" t="inlineStr">
        <is>
          <t>Net Change in Cash</t>
        </is>
      </c>
      <c r="B80" s="33" t="n"/>
      <c r="C80" s="160" t="inlineStr">
        <is>
          <t>Net Operating Cash Flow + Net Investing Cash Flow + Net Financing Cash Flow</t>
        </is>
      </c>
      <c r="D80" s="161" t="n"/>
      <c r="E80" s="161" t="n"/>
      <c r="F80" s="161" t="n"/>
      <c r="G80" s="161" t="n"/>
      <c r="H80" s="161" t="n"/>
      <c r="I80" s="161" t="n"/>
      <c r="J80" s="161" t="n"/>
      <c r="K80" s="161" t="n"/>
      <c r="L80" s="161" t="n"/>
      <c r="M80" s="161" t="n"/>
      <c r="N80" s="165" t="n"/>
      <c r="O80" s="165" t="n"/>
      <c r="P80" s="165" t="n"/>
      <c r="Q80" s="165" t="n"/>
      <c r="R80" s="165" t="n"/>
      <c r="S80" s="165" t="n"/>
      <c r="T80" s="165" t="n"/>
      <c r="U80" s="165" t="n"/>
      <c r="V80" s="165" t="n"/>
    </row>
    <row r="81">
      <c r="A81" s="33" t="n"/>
      <c r="B81" s="33" t="n"/>
    </row>
    <row r="82" ht="14" customHeight="1" thickBot="1">
      <c r="A82" s="24" t="n"/>
      <c r="B82" s="24" t="n"/>
      <c r="C82" s="210" t="inlineStr">
        <is>
          <t>% of Sales</t>
        </is>
      </c>
      <c r="D82" s="236" t="n"/>
      <c r="E82" s="236" t="n"/>
      <c r="F82" s="236" t="n"/>
      <c r="G82" s="236" t="n"/>
      <c r="H82" s="236" t="n"/>
    </row>
    <row r="83" ht="56" customHeight="1" thickBot="1">
      <c r="C83" s="201" t="inlineStr">
        <is>
          <t>Last Reported Fiscal Year (-4 yr)</t>
        </is>
      </c>
      <c r="D83" s="199" t="inlineStr">
        <is>
          <t>Last Reported Fiscal Year (-3 yr)</t>
        </is>
      </c>
      <c r="E83" s="199" t="inlineStr">
        <is>
          <t>Last Reported Fiscal Year (-2 yr)</t>
        </is>
      </c>
      <c r="F83" s="199" t="inlineStr">
        <is>
          <t>Last Reported Fiscal Year (-1 yr)</t>
        </is>
      </c>
      <c r="G83" s="199" t="inlineStr">
        <is>
          <t>Last Reported Fiscal Year</t>
        </is>
      </c>
      <c r="H83" s="202" t="inlineStr">
        <is>
          <t>Average</t>
        </is>
      </c>
    </row>
    <row r="84">
      <c r="A84" s="38" t="inlineStr">
        <is>
          <t>Capital Expenditures</t>
        </is>
      </c>
      <c r="B84" s="208" t="n"/>
      <c r="C84" s="237">
        <f>CashFlow!C21/IncomeStatement!C5</f>
        <v/>
      </c>
      <c r="D84" s="238">
        <f>CashFlow!D21/IncomeStatement!D5</f>
        <v/>
      </c>
      <c r="E84" s="238">
        <f>CashFlow!E21/IncomeStatement!E5</f>
        <v/>
      </c>
      <c r="F84" s="238">
        <f>CashFlow!F21/IncomeStatement!F5</f>
        <v/>
      </c>
      <c r="G84" s="238">
        <f>CashFlow!G21/IncomeStatement!G5</f>
        <v/>
      </c>
      <c r="H84" s="239">
        <f>AVERAGE(C84:G84)</f>
        <v/>
      </c>
    </row>
  </sheetData>
  <mergeCells count="4">
    <mergeCell ref="C64:M65"/>
    <mergeCell ref="C43:J43"/>
    <mergeCell ref="C72:M73"/>
    <mergeCell ref="C82:H82"/>
  </mergeCell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0">
    <outlinePr summaryBelow="1" summaryRight="1"/>
    <pageSetUpPr/>
  </sheetPr>
  <dimension ref="A1:M26"/>
  <sheetViews>
    <sheetView showGridLines="0" workbookViewId="0">
      <selection activeCell="D5" sqref="D5"/>
    </sheetView>
  </sheetViews>
  <sheetFormatPr baseColWidth="10" defaultColWidth="9.1640625" defaultRowHeight="13"/>
  <cols>
    <col width="9.1640625" customWidth="1" style="58" min="1" max="2"/>
    <col width="9.33203125" customWidth="1" style="58" min="3" max="3"/>
    <col width="11.33203125" bestFit="1" customWidth="1" style="58" min="4" max="4"/>
    <col width="9.1640625" customWidth="1" style="58" min="5" max="5"/>
    <col width="11.83203125" customWidth="1" style="58" min="6" max="6"/>
    <col width="9.33203125" bestFit="1" customWidth="1" style="58" min="7" max="7"/>
    <col width="9.1640625" customWidth="1" style="58" min="8" max="10"/>
    <col width="9.33203125" customWidth="1" style="58" min="11" max="11"/>
    <col width="9.1640625" customWidth="1" style="58" min="12" max="17"/>
    <col width="3.83203125" customWidth="1" style="58" min="18" max="18"/>
    <col width="12.83203125" customWidth="1" style="58" min="19" max="19"/>
    <col width="3.33203125" customWidth="1" style="58" min="20" max="20"/>
    <col width="3.1640625" customWidth="1" style="58" min="21" max="21"/>
    <col width="3.6640625" customWidth="1" style="58" min="22" max="22"/>
    <col width="13.33203125" customWidth="1" style="58" min="23" max="23"/>
    <col width="3.6640625" customWidth="1" style="58" min="24" max="24"/>
    <col width="2.83203125" customWidth="1" style="58" min="25" max="25"/>
    <col width="7.6640625" customWidth="1" style="58" min="26" max="26"/>
    <col width="9.1640625" customWidth="1" style="58" min="27" max="16384"/>
  </cols>
  <sheetData>
    <row r="1" ht="18" customHeight="1">
      <c r="A1" s="217" t="inlineStr">
        <is>
          <t>WACC Model</t>
        </is>
      </c>
    </row>
    <row r="3" ht="16" customHeight="1" thickBot="1">
      <c r="B3" s="62" t="inlineStr">
        <is>
          <t>Cost of Equity - CAPM (Ke)</t>
        </is>
      </c>
      <c r="F3" s="62" t="inlineStr">
        <is>
          <t>Cost of Debt (kd):</t>
        </is>
      </c>
      <c r="J3" s="62" t="inlineStr">
        <is>
          <t>Capital Structure</t>
        </is>
      </c>
    </row>
    <row r="4" ht="15.75" customHeight="1" thickBot="1" thickTop="1">
      <c r="B4" s="221" t="inlineStr">
        <is>
          <t>Beta:</t>
        </is>
      </c>
      <c r="C4" s="248" t="n"/>
      <c r="D4" s="96" t="n">
        <v>1</v>
      </c>
      <c r="F4" s="221" t="inlineStr">
        <is>
          <t>Cost of debt (kd):</t>
        </is>
      </c>
      <c r="G4" s="248" t="n"/>
      <c r="H4" s="67" t="n">
        <v>0.07000000000000001</v>
      </c>
      <c r="J4" s="220" t="inlineStr">
        <is>
          <t>Equity %:</t>
        </is>
      </c>
      <c r="K4" s="249">
        <f>1-K5</f>
        <v/>
      </c>
      <c r="L4" s="250" t="n"/>
    </row>
    <row r="5" ht="15.75" customHeight="1" thickBot="1" thickTop="1">
      <c r="B5" s="221" t="inlineStr">
        <is>
          <t>Risk Free Rate (Rf):</t>
        </is>
      </c>
      <c r="C5" s="248" t="n"/>
      <c r="D5" s="67" t="n">
        <v>0.015</v>
      </c>
      <c r="F5" s="221" t="inlineStr">
        <is>
          <t>Tax rate:</t>
        </is>
      </c>
      <c r="G5" s="248" t="n"/>
      <c r="H5" s="67" t="n">
        <v>0.4</v>
      </c>
      <c r="J5" s="220" t="inlineStr">
        <is>
          <t>Debt %:</t>
        </is>
      </c>
      <c r="K5" s="249">
        <f>BalanceSheet!I37/BalanceSheet!I45</f>
        <v/>
      </c>
    </row>
    <row r="6" ht="15.75" customHeight="1" thickBot="1" thickTop="1">
      <c r="B6" s="221" t="inlineStr">
        <is>
          <t>Market Return (Rm):</t>
        </is>
      </c>
      <c r="C6" s="248" t="n"/>
      <c r="D6" s="67" t="n">
        <v>0.08</v>
      </c>
      <c r="F6" s="220" t="inlineStr">
        <is>
          <t>After tax (kd):</t>
        </is>
      </c>
      <c r="H6" s="153">
        <f>H4*(1-H5)</f>
        <v/>
      </c>
      <c r="J6" s="220" t="inlineStr">
        <is>
          <t>Total:</t>
        </is>
      </c>
      <c r="K6" s="251">
        <f>SUM(K4:K5)</f>
        <v/>
      </c>
    </row>
    <row r="7" ht="15.75" customHeight="1" thickBot="1" thickTop="1">
      <c r="B7" s="221" t="inlineStr">
        <is>
          <t>Cost of equity (Ke):</t>
        </is>
      </c>
      <c r="C7" s="248" t="n"/>
      <c r="D7" s="153">
        <f>D4*(D6-D5)+D5</f>
        <v/>
      </c>
    </row>
    <row r="8" ht="14" customHeight="1" thickTop="1">
      <c r="B8" s="62" t="n"/>
    </row>
    <row r="9">
      <c r="M9" s="252" t="n"/>
    </row>
    <row r="10">
      <c r="M10" s="252" t="n"/>
    </row>
    <row r="13">
      <c r="C13" s="62" t="inlineStr">
        <is>
          <t>WACC</t>
        </is>
      </c>
      <c r="D13" s="91">
        <f>(K4*D7)+(K5*H6)</f>
        <v/>
      </c>
    </row>
    <row r="14">
      <c r="C14" s="62" t="n"/>
      <c r="D14" s="91" t="n"/>
    </row>
    <row r="15">
      <c r="C15" s="222" t="inlineStr">
        <is>
          <t>WACC Sensitivity to Beta vs. Capital Structure</t>
        </is>
      </c>
    </row>
    <row r="16">
      <c r="C16" s="222" t="n"/>
      <c r="D16" s="222" t="n"/>
      <c r="E16" s="222" t="n"/>
      <c r="F16" s="222" t="n"/>
      <c r="G16" s="222" t="n"/>
      <c r="H16" s="222" t="n"/>
      <c r="I16" s="222" t="n"/>
      <c r="J16" s="222" t="n"/>
      <c r="K16" s="222" t="n"/>
      <c r="L16" s="222" t="n"/>
    </row>
    <row r="17" ht="14" customHeight="1" thickBot="1">
      <c r="B17" s="89" t="n"/>
      <c r="C17" s="88" t="n"/>
      <c r="D17" s="219" t="inlineStr">
        <is>
          <t>% Equity</t>
        </is>
      </c>
      <c r="E17" s="253" t="n"/>
      <c r="F17" s="253" t="n"/>
      <c r="G17" s="253" t="n"/>
      <c r="H17" s="253" t="n"/>
      <c r="I17" s="253" t="n"/>
      <c r="J17" s="253" t="n"/>
      <c r="K17" s="253" t="n"/>
      <c r="L17" s="254" t="n"/>
    </row>
    <row r="18" ht="15" customHeight="1" thickBot="1" thickTop="1">
      <c r="B18" s="81" t="n"/>
      <c r="C18" s="87">
        <f>($K$4*$D$7)+($K$5*$H$6)</f>
        <v/>
      </c>
      <c r="D18" s="86" t="n">
        <v>0.55</v>
      </c>
      <c r="E18" s="86" t="n">
        <v>0.6</v>
      </c>
      <c r="F18" s="86" t="n">
        <v>0.65</v>
      </c>
      <c r="G18" s="86" t="n">
        <v>0.7</v>
      </c>
      <c r="H18" s="86" t="n">
        <v>0.75</v>
      </c>
      <c r="I18" s="86" t="n">
        <v>0.8</v>
      </c>
      <c r="J18" s="86" t="n">
        <v>0.85</v>
      </c>
      <c r="K18" s="86">
        <f>IF(L4=0.9,0.9,J18+0.05)</f>
        <v/>
      </c>
      <c r="L18" s="85">
        <f>IF(L4=1,1,K18+0.05)</f>
        <v/>
      </c>
    </row>
    <row r="19" ht="15" customHeight="1" thickBot="1" thickTop="1">
      <c r="B19" s="81" t="n"/>
      <c r="C19" s="80">
        <f>C20-0.05</f>
        <v/>
      </c>
      <c r="D19" s="84">
        <f t="dataTable" ref="D19:L25" dt2D="1" dtr="0" r1="K4" r2="D4" ca="1"/>
        <v/>
      </c>
      <c r="E19" s="84" t="n">
        <v>0.07681534987168268</v>
      </c>
      <c r="F19" s="84" t="n">
        <v>0.08032784987168268</v>
      </c>
      <c r="G19" s="84" t="n">
        <v>0.08384034987168268</v>
      </c>
      <c r="H19" s="84" t="n">
        <v>0.08735284987168268</v>
      </c>
      <c r="I19" s="84" t="n">
        <v>0.09086534987168268</v>
      </c>
      <c r="J19" s="84" t="n">
        <v>0.09437784987168268</v>
      </c>
      <c r="K19" s="84" t="n">
        <v>0.09789034987168267</v>
      </c>
      <c r="L19" s="83" t="n">
        <v>0.1014028498716827</v>
      </c>
    </row>
    <row r="20" ht="15" customHeight="1" thickBot="1" thickTop="1">
      <c r="B20" s="81" t="n"/>
      <c r="C20" s="80">
        <f>C21-0.05</f>
        <v/>
      </c>
      <c r="D20" s="79" t="n">
        <v>0.07151534987168269</v>
      </c>
      <c r="E20" s="79" t="n">
        <v>0.07486534987168268</v>
      </c>
      <c r="F20" s="79" t="n">
        <v>0.07821534987168269</v>
      </c>
      <c r="G20" s="79" t="n">
        <v>0.08156534987168268</v>
      </c>
      <c r="H20" s="79" t="n">
        <v>0.08491534987168269</v>
      </c>
      <c r="I20" s="79" t="n">
        <v>0.08826534987168269</v>
      </c>
      <c r="J20" s="79" t="n">
        <v>0.09161534987168268</v>
      </c>
      <c r="K20" s="79" t="n">
        <v>0.09496534987168269</v>
      </c>
      <c r="L20" s="78" t="n">
        <v>0.09831534987168269</v>
      </c>
    </row>
    <row r="21" ht="15" customHeight="1" thickBot="1" thickTop="1">
      <c r="B21" s="81" t="n"/>
      <c r="C21" s="80">
        <f>C22-0.05</f>
        <v/>
      </c>
      <c r="D21" s="79" t="n">
        <v>0.06972784987168268</v>
      </c>
      <c r="E21" s="79" t="n">
        <v>0.07291534987168269</v>
      </c>
      <c r="F21" s="79" t="n">
        <v>0.07610284987168268</v>
      </c>
      <c r="G21" s="79" t="n">
        <v>0.07929034987168268</v>
      </c>
      <c r="H21" s="79" t="n">
        <v>0.08247784987168269</v>
      </c>
      <c r="I21" s="79" t="n">
        <v>0.08566534987168269</v>
      </c>
      <c r="J21" s="79" t="n">
        <v>0.08885284987168268</v>
      </c>
      <c r="K21" s="79" t="n">
        <v>0.09204034987168269</v>
      </c>
      <c r="L21" s="78" t="n">
        <v>0.09522784987168269</v>
      </c>
    </row>
    <row r="22" ht="15" customHeight="1" thickBot="1" thickTop="1">
      <c r="B22" s="82" t="inlineStr">
        <is>
          <t>Beta</t>
        </is>
      </c>
      <c r="C22" s="80">
        <f>ROUND(D4,1)</f>
        <v/>
      </c>
      <c r="D22" s="79" t="n">
        <v>0.07151534987168269</v>
      </c>
      <c r="E22" s="79" t="n">
        <v>0.07486534987168268</v>
      </c>
      <c r="F22" s="79" t="n">
        <v>0.07821534987168269</v>
      </c>
      <c r="G22" s="79" t="n">
        <v>0.08156534987168268</v>
      </c>
      <c r="H22" s="79" t="n">
        <v>0.08491534987168269</v>
      </c>
      <c r="I22" s="79" t="n">
        <v>0.08826534987168269</v>
      </c>
      <c r="J22" s="79" t="n">
        <v>0.09161534987168268</v>
      </c>
      <c r="K22" s="79" t="n">
        <v>0.09496534987168269</v>
      </c>
      <c r="L22" s="78" t="n">
        <v>0.09831534987168269</v>
      </c>
    </row>
    <row r="23" ht="15" customHeight="1" thickBot="1" thickTop="1">
      <c r="B23" s="81" t="n"/>
      <c r="C23" s="80">
        <f>C22+0.05</f>
        <v/>
      </c>
      <c r="D23" s="79" t="n">
        <v>0.07330284987168269</v>
      </c>
      <c r="E23" s="79" t="n">
        <v>0.07681534987168268</v>
      </c>
      <c r="F23" s="79" t="n">
        <v>0.08032784987168269</v>
      </c>
      <c r="G23" s="79" t="n">
        <v>0.08384034987168268</v>
      </c>
      <c r="H23" s="79" t="n">
        <v>0.08735284987168268</v>
      </c>
      <c r="I23" s="79" t="n">
        <v>0.09086534987168268</v>
      </c>
      <c r="J23" s="79" t="n">
        <v>0.09437784987168268</v>
      </c>
      <c r="K23" s="79" t="n">
        <v>0.09789034987168269</v>
      </c>
      <c r="L23" s="78" t="n">
        <v>0.1014028498716827</v>
      </c>
    </row>
    <row r="24" ht="15" customHeight="1" thickBot="1" thickTop="1">
      <c r="B24" s="81" t="n"/>
      <c r="C24" s="80">
        <f>C23+0.05</f>
        <v/>
      </c>
      <c r="D24" s="79" t="n">
        <v>0.07866534987168269</v>
      </c>
      <c r="E24" s="79" t="n">
        <v>0.08266534987168268</v>
      </c>
      <c r="F24" s="79" t="n">
        <v>0.08666534987168269</v>
      </c>
      <c r="G24" s="79" t="n">
        <v>0.09066534987168268</v>
      </c>
      <c r="H24" s="79" t="n">
        <v>0.09466534987168268</v>
      </c>
      <c r="I24" s="79" t="n">
        <v>0.09866534987168268</v>
      </c>
      <c r="J24" s="79" t="n">
        <v>0.1026653498716827</v>
      </c>
      <c r="K24" s="79" t="n">
        <v>0.1066653498716827</v>
      </c>
      <c r="L24" s="78" t="n">
        <v>0.1106653498716827</v>
      </c>
    </row>
    <row r="25" ht="14" customHeight="1" thickTop="1">
      <c r="B25" s="77" t="n"/>
      <c r="C25" s="76">
        <f>C24+0.05</f>
        <v/>
      </c>
      <c r="D25" s="75" t="n">
        <v>0.08402784987168269</v>
      </c>
      <c r="E25" s="75" t="n">
        <v>0.08851534987168269</v>
      </c>
      <c r="F25" s="75" t="n">
        <v>0.0930028498716827</v>
      </c>
      <c r="G25" s="75" t="n">
        <v>0.09749034987168269</v>
      </c>
      <c r="H25" s="75" t="n">
        <v>0.1019778498716827</v>
      </c>
      <c r="I25" s="75" t="n">
        <v>0.1064653498716827</v>
      </c>
      <c r="J25" s="75" t="n">
        <v>0.1109528498716827</v>
      </c>
      <c r="K25" s="75" t="n">
        <v>0.1154403498716827</v>
      </c>
      <c r="L25" s="74" t="n">
        <v>0.1199278498716827</v>
      </c>
    </row>
    <row r="26">
      <c r="C26" s="73" t="n"/>
    </row>
  </sheetData>
  <mergeCells count="10">
    <mergeCell ref="F4:G4"/>
    <mergeCell ref="B6:C6"/>
    <mergeCell ref="B7:C7"/>
    <mergeCell ref="B5:C5"/>
    <mergeCell ref="A1:L1"/>
    <mergeCell ref="F5:G5"/>
    <mergeCell ref="F6:G6"/>
    <mergeCell ref="D17:L17"/>
    <mergeCell ref="C15:L15"/>
    <mergeCell ref="B4:C4"/>
  </mergeCells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I41"/>
  <sheetViews>
    <sheetView showGridLines="0" workbookViewId="0">
      <selection activeCell="A1" sqref="A1"/>
    </sheetView>
  </sheetViews>
  <sheetFormatPr baseColWidth="10" defaultColWidth="9.1640625" defaultRowHeight="13"/>
  <cols>
    <col width="5.6640625" customWidth="1" style="58" min="1" max="1"/>
    <col width="13.1640625" customWidth="1" style="58" min="2" max="2"/>
    <col width="9.1640625" customWidth="1" style="58" min="3" max="4"/>
    <col width="9.6640625" customWidth="1" style="58" min="5" max="5"/>
    <col width="9.1640625" customWidth="1" style="58" min="6" max="8"/>
    <col width="13.33203125" bestFit="1" customWidth="1" style="58" min="9" max="9"/>
    <col width="9.1640625" customWidth="1" style="58" min="10" max="16384"/>
  </cols>
  <sheetData>
    <row r="1" ht="20" customFormat="1" customHeight="1" s="71">
      <c r="A1" s="69" t="inlineStr">
        <is>
          <t xml:space="preserve">DDM Model- Gordon Growth </t>
        </is>
      </c>
    </row>
    <row r="6" ht="14" customHeight="1" thickBot="1"/>
    <row r="7" ht="15" customHeight="1" thickBot="1" thickTop="1">
      <c r="B7" s="220" t="inlineStr">
        <is>
          <t>Current Dividend Per Share (DPS):</t>
        </is>
      </c>
      <c r="E7" s="255" t="n">
        <v>2</v>
      </c>
    </row>
    <row r="8" ht="15" customHeight="1" thickBot="1" thickTop="1">
      <c r="B8" s="220" t="inlineStr">
        <is>
          <t>Growth Rate (g):</t>
        </is>
      </c>
      <c r="E8" s="67" t="n">
        <v>0.05</v>
      </c>
    </row>
    <row r="9" ht="15" customHeight="1" thickBot="1" thickTop="1">
      <c r="B9" s="220" t="inlineStr">
        <is>
          <t>Discount Rate (k):</t>
        </is>
      </c>
      <c r="E9" s="67" t="n">
        <v>0.08</v>
      </c>
    </row>
    <row r="10" ht="15" customHeight="1" thickBot="1" thickTop="1">
      <c r="B10" s="220" t="inlineStr">
        <is>
          <t>Current Stock Price:</t>
        </is>
      </c>
      <c r="E10" s="255" t="n">
        <v>65</v>
      </c>
    </row>
    <row r="11" ht="14" customHeight="1" thickTop="1"/>
    <row r="12">
      <c r="B12" s="223" t="inlineStr">
        <is>
          <t>Value of Stock:</t>
        </is>
      </c>
      <c r="E12" s="256">
        <f>((E7*(1+E8)))/(E9-E8)</f>
        <v/>
      </c>
      <c r="F12" s="256" t="n"/>
    </row>
    <row r="14">
      <c r="B14" s="223">
        <f>IF(E12/E10-1&lt;0,"The Stock is Over Valued by:",IF(E12/E10-1=0,"The Stock is at Fair Value",("The Stock is Under Valued by:")))</f>
        <v/>
      </c>
      <c r="E14" s="59">
        <f>(E12-E10)/E10</f>
        <v/>
      </c>
    </row>
    <row r="17" hidden="1">
      <c r="D17" s="70">
        <f>E17-0.01</f>
        <v/>
      </c>
      <c r="E17" s="70">
        <f>F17-0.01</f>
        <v/>
      </c>
      <c r="F17" s="70" t="n">
        <v>0.1</v>
      </c>
      <c r="G17" s="70">
        <f>F17+0.01</f>
        <v/>
      </c>
      <c r="H17" s="70">
        <f>G17+0.01</f>
        <v/>
      </c>
    </row>
    <row r="18" hidden="1">
      <c r="B18" s="58" t="inlineStr">
        <is>
          <t>Price</t>
        </is>
      </c>
      <c r="C18" s="257">
        <f>((#REF!*(1+#REF!)))/(#REF!-#REF!)</f>
        <v/>
      </c>
      <c r="D18" s="257">
        <f t="dataTable" ref="D18:H18" dt2D="0" dtr="1" r1="XFD65536" del1="1"/>
        <v/>
      </c>
      <c r="E18" s="257" t="e">
        <v>#REF!</v>
      </c>
      <c r="F18" s="257" t="e">
        <v>#REF!</v>
      </c>
      <c r="G18" s="257" t="e">
        <v>#REF!</v>
      </c>
      <c r="H18" s="257" t="e">
        <v>#REF!</v>
      </c>
    </row>
    <row r="19" collapsed="1"/>
    <row r="20" ht="20" customHeight="1">
      <c r="A20" s="69" t="inlineStr">
        <is>
          <t>DDM Model- Gordon Growth  (Two-Stage)</t>
        </is>
      </c>
      <c r="B20" s="68" t="n"/>
    </row>
    <row r="21" ht="20" customHeight="1">
      <c r="A21" s="69" t="n"/>
      <c r="B21" s="68" t="n"/>
    </row>
    <row r="22" ht="20" customHeight="1">
      <c r="A22" s="69" t="n"/>
      <c r="B22" s="68" t="n"/>
    </row>
    <row r="24" ht="14" customHeight="1" thickBot="1"/>
    <row r="25" ht="15" customHeight="1" thickBot="1" thickTop="1">
      <c r="B25" s="220" t="inlineStr">
        <is>
          <t>Current Dividend Per Share (DPS):</t>
        </is>
      </c>
      <c r="E25" s="255" t="n">
        <v>0.04</v>
      </c>
    </row>
    <row r="26" ht="17" customHeight="1" thickBot="1" thickTop="1">
      <c r="B26" s="220" t="inlineStr">
        <is>
          <t>Growth Rate for Stage 1 (g1):</t>
        </is>
      </c>
      <c r="E26" s="67" t="n">
        <v>0.05</v>
      </c>
    </row>
    <row r="27" ht="17" customHeight="1" thickBot="1" thickTop="1">
      <c r="B27" s="220" t="inlineStr">
        <is>
          <t>Growth Rate (g2):</t>
        </is>
      </c>
      <c r="E27" s="67" t="n">
        <v>0.05</v>
      </c>
    </row>
    <row r="28" ht="15" customHeight="1" thickBot="1" thickTop="1">
      <c r="B28" s="220" t="inlineStr">
        <is>
          <t>Discount Rate (k):</t>
        </is>
      </c>
      <c r="E28" s="67" t="n">
        <v>0.08</v>
      </c>
    </row>
    <row r="29" ht="15" customHeight="1" thickBot="1" thickTop="1">
      <c r="B29" s="220" t="inlineStr">
        <is>
          <t>Current Stock Price:</t>
        </is>
      </c>
      <c r="E29" s="255" t="n">
        <v>106</v>
      </c>
    </row>
    <row r="30" ht="14" customHeight="1" thickTop="1"/>
    <row r="31">
      <c r="B31" s="58" t="inlineStr">
        <is>
          <t>Calculation Eample 1</t>
        </is>
      </c>
      <c r="D31" s="65">
        <f>C31+1</f>
        <v/>
      </c>
      <c r="E31" s="65">
        <f>D31+1</f>
        <v/>
      </c>
      <c r="F31" s="65">
        <f>E31+1</f>
        <v/>
      </c>
      <c r="G31" s="65">
        <f>F31+1</f>
        <v/>
      </c>
      <c r="H31" s="65">
        <f>G31+1</f>
        <v/>
      </c>
      <c r="I31" s="64" t="inlineStr">
        <is>
          <t>Terminal value</t>
        </is>
      </c>
    </row>
    <row r="32">
      <c r="B32" s="60" t="n"/>
      <c r="D32" s="257">
        <f>E25*(1+E26)</f>
        <v/>
      </c>
      <c r="E32" s="257">
        <f>D32*(1+$E$26)</f>
        <v/>
      </c>
      <c r="F32" s="257">
        <f>E32*(1+$E$26)</f>
        <v/>
      </c>
      <c r="G32" s="257">
        <f>F32*(1+$E$26)</f>
        <v/>
      </c>
      <c r="H32" s="257">
        <f>G32*(1+$E$26)</f>
        <v/>
      </c>
      <c r="I32" s="257">
        <f>(H32*(1+E27)/(E28-E27))</f>
        <v/>
      </c>
    </row>
    <row r="33">
      <c r="B33" s="60" t="n"/>
      <c r="D33" s="257">
        <f>D32/(1+$E$28)^D31</f>
        <v/>
      </c>
      <c r="E33" s="257">
        <f>E32/(1+$E$28)^E31</f>
        <v/>
      </c>
      <c r="F33" s="257">
        <f>F32/(1+$E$28)^F31</f>
        <v/>
      </c>
      <c r="G33" s="257">
        <f>G32/(1+$E$28)^G31</f>
        <v/>
      </c>
      <c r="H33" s="257">
        <f>H32/(1+$E$28)^H31</f>
        <v/>
      </c>
      <c r="I33" s="257">
        <f>I32/(1+$E$28)^H31</f>
        <v/>
      </c>
    </row>
    <row r="34">
      <c r="B34" s="60" t="n"/>
      <c r="D34" s="257" t="n"/>
      <c r="E34" s="257" t="n"/>
      <c r="F34" s="257" t="n"/>
      <c r="G34" s="257" t="n"/>
      <c r="H34" s="257" t="n"/>
      <c r="I34" s="257" t="n"/>
    </row>
    <row r="35">
      <c r="B35" s="58" t="inlineStr">
        <is>
          <t>Calculation Eample 2</t>
        </is>
      </c>
      <c r="D35" s="65">
        <f>C35+1</f>
        <v/>
      </c>
      <c r="E35" s="65">
        <f>D35+1</f>
        <v/>
      </c>
      <c r="F35" s="65">
        <f>E35+1</f>
        <v/>
      </c>
      <c r="G35" s="65">
        <f>F35+1</f>
        <v/>
      </c>
      <c r="H35" s="65">
        <f>G35+1</f>
        <v/>
      </c>
      <c r="I35" s="64" t="inlineStr">
        <is>
          <t>Terminal value</t>
        </is>
      </c>
    </row>
    <row r="36">
      <c r="B36" s="60" t="n"/>
      <c r="D36" s="257">
        <f>$E$25*(1+$E$26)</f>
        <v/>
      </c>
      <c r="E36" s="257">
        <f>$E$25*(1+$E$26)^E35</f>
        <v/>
      </c>
      <c r="F36" s="257">
        <f>$E$25*(1+$E$26)^F35</f>
        <v/>
      </c>
      <c r="G36" s="257">
        <f>$E$25*(1+$E$26)^G35</f>
        <v/>
      </c>
      <c r="H36" s="257">
        <f>$E$25*(1+$E$26)^H35</f>
        <v/>
      </c>
      <c r="I36" s="257">
        <f>($E$25*(1+$E$26)^H35*(1+$E$27))/(E28-E27)</f>
        <v/>
      </c>
    </row>
    <row r="37">
      <c r="B37" s="60" t="n"/>
      <c r="D37" s="257">
        <f>D36/(1+$E$28)^D35</f>
        <v/>
      </c>
      <c r="E37" s="257">
        <f>E36/(1+$E$28)^E35</f>
        <v/>
      </c>
      <c r="F37" s="257">
        <f>F36/(1+$E$28)^F35</f>
        <v/>
      </c>
      <c r="G37" s="257">
        <f>G36/(1+$E$28)^G35</f>
        <v/>
      </c>
      <c r="H37" s="257">
        <f>H36/(1+$E$28)^H35</f>
        <v/>
      </c>
      <c r="I37" s="257">
        <f>I36/(1+$E$28)^H35</f>
        <v/>
      </c>
    </row>
    <row r="38">
      <c r="B38" s="62" t="n"/>
    </row>
    <row r="39">
      <c r="B39" s="223" t="inlineStr">
        <is>
          <t>Value of Stock:</t>
        </is>
      </c>
      <c r="E39" s="256">
        <f>SUM(C33:I33)</f>
        <v/>
      </c>
    </row>
    <row r="40">
      <c r="B40" s="60" t="n"/>
    </row>
    <row r="41">
      <c r="B41" s="223">
        <f>IF(E39/E29-1&lt;0,"The Stock is Over Valued by:",IF(E39/E29-1=0,"The Stock is at Fair Value",("The Stock is Under Valued by:")))</f>
        <v/>
      </c>
      <c r="E41" s="59">
        <f>(E39-E29)/E29</f>
        <v/>
      </c>
    </row>
  </sheetData>
  <mergeCells count="13">
    <mergeCell ref="B10:D10"/>
    <mergeCell ref="B28:D28"/>
    <mergeCell ref="B14:D14"/>
    <mergeCell ref="B41:D41"/>
    <mergeCell ref="B8:D8"/>
    <mergeCell ref="B26:D26"/>
    <mergeCell ref="B9:D9"/>
    <mergeCell ref="B27:D27"/>
    <mergeCell ref="B12:D12"/>
    <mergeCell ref="B29:D29"/>
    <mergeCell ref="B39:D39"/>
    <mergeCell ref="B25:D25"/>
    <mergeCell ref="B7:D7"/>
  </mergeCells>
  <pageMargins left="0.75" right="0.75" top="1" bottom="1" header="0.5" footer="0.5"/>
  <pageSetup orientation="portrait" horizontalDpi="300" verticalDpi="30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M70"/>
  <sheetViews>
    <sheetView showGridLines="0" workbookViewId="0">
      <selection activeCell="C68" sqref="C68"/>
    </sheetView>
  </sheetViews>
  <sheetFormatPr baseColWidth="10" defaultColWidth="9.1640625" defaultRowHeight="13"/>
  <cols>
    <col width="32" customWidth="1" style="58" min="1" max="1"/>
    <col width="12" customWidth="1" style="58" min="2" max="11"/>
    <col width="13.33203125" customWidth="1" style="58" min="12" max="12"/>
    <col width="15.83203125" customWidth="1" style="58" min="13" max="13"/>
    <col width="9.1640625" customWidth="1" style="58" min="14" max="16384"/>
  </cols>
  <sheetData>
    <row r="1" ht="18" customHeight="1">
      <c r="A1" s="68" t="inlineStr">
        <is>
          <t>DCF Model</t>
        </is>
      </c>
      <c r="B1" s="68" t="n"/>
    </row>
    <row r="2">
      <c r="A2" s="149">
        <f>IncomeStatement!A1</f>
        <v/>
      </c>
    </row>
    <row r="3" ht="14" customHeight="1" thickBot="1">
      <c r="C3" s="258" t="n"/>
    </row>
    <row r="4" ht="18" customHeight="1" thickBot="1" thickTop="1">
      <c r="A4" s="62" t="inlineStr">
        <is>
          <t>Income statement</t>
        </is>
      </c>
      <c r="B4" s="230" t="inlineStr">
        <is>
          <t xml:space="preserve">Historical </t>
        </is>
      </c>
      <c r="F4" s="248" t="n"/>
      <c r="G4" s="259" t="inlineStr">
        <is>
          <t>Projected</t>
        </is>
      </c>
      <c r="H4" s="260" t="n"/>
      <c r="I4" s="260" t="n"/>
      <c r="J4" s="260" t="n"/>
      <c r="K4" s="261" t="n"/>
      <c r="L4" s="145" t="n"/>
    </row>
    <row r="5" ht="15" customHeight="1" thickBot="1" thickTop="1">
      <c r="A5" s="132" t="inlineStr">
        <is>
          <t>(millions)</t>
        </is>
      </c>
      <c r="B5" s="131" t="inlineStr">
        <is>
          <t>FY-4</t>
        </is>
      </c>
      <c r="C5" s="131" t="inlineStr">
        <is>
          <t>FY-3</t>
        </is>
      </c>
      <c r="D5" s="131" t="inlineStr">
        <is>
          <t>FY-2</t>
        </is>
      </c>
      <c r="E5" s="131" t="inlineStr">
        <is>
          <t>FY-1</t>
        </is>
      </c>
      <c r="F5" s="130" t="inlineStr">
        <is>
          <t>FY0</t>
        </is>
      </c>
      <c r="G5" s="129" t="inlineStr">
        <is>
          <t>FY+1</t>
        </is>
      </c>
      <c r="H5" s="129" t="inlineStr">
        <is>
          <t>FY+2</t>
        </is>
      </c>
      <c r="I5" s="129" t="inlineStr">
        <is>
          <t>FY+3</t>
        </is>
      </c>
      <c r="J5" s="129" t="inlineStr">
        <is>
          <t>FY+4</t>
        </is>
      </c>
      <c r="K5" s="129" t="inlineStr">
        <is>
          <t>FY+5</t>
        </is>
      </c>
    </row>
    <row r="6" ht="14" customHeight="1" thickTop="1">
      <c r="A6" s="128" t="inlineStr">
        <is>
          <t>Revenues</t>
        </is>
      </c>
      <c r="B6" s="262">
        <f>IncomeStatement!C5</f>
        <v/>
      </c>
      <c r="C6" s="262">
        <f>IncomeStatement!D5</f>
        <v/>
      </c>
      <c r="D6" s="262">
        <f>IncomeStatement!E5</f>
        <v/>
      </c>
      <c r="E6" s="262">
        <f>IncomeStatement!F5</f>
        <v/>
      </c>
      <c r="F6" s="263">
        <f>IncomeStatement!G5</f>
        <v/>
      </c>
      <c r="G6" s="258">
        <f>IncomeStatement!H5</f>
        <v/>
      </c>
      <c r="H6" s="258">
        <f>IncomeStatement!I5</f>
        <v/>
      </c>
      <c r="I6" s="258">
        <f>H6*(1+$G$57)</f>
        <v/>
      </c>
      <c r="J6" s="258">
        <f>I6*(1+$G$57)</f>
        <v/>
      </c>
      <c r="K6" s="258">
        <f>J6*(1+$G$57)</f>
        <v/>
      </c>
    </row>
    <row r="7">
      <c r="A7" s="144" t="inlineStr">
        <is>
          <t>Cost of Good Sold</t>
        </is>
      </c>
      <c r="B7" s="264">
        <f>IncomeStatement!C6</f>
        <v/>
      </c>
      <c r="C7" s="264">
        <f>IncomeStatement!D6</f>
        <v/>
      </c>
      <c r="D7" s="264">
        <f>IncomeStatement!E6</f>
        <v/>
      </c>
      <c r="E7" s="264">
        <f>IncomeStatement!F6</f>
        <v/>
      </c>
      <c r="F7" s="265">
        <f>IncomeStatement!G6</f>
        <v/>
      </c>
      <c r="G7" s="266">
        <f>IncomeStatement!H6</f>
        <v/>
      </c>
      <c r="H7" s="266">
        <f>IncomeStatement!I6</f>
        <v/>
      </c>
      <c r="I7" s="266">
        <f>(1-$G$58)*I6</f>
        <v/>
      </c>
      <c r="J7" s="266">
        <f>(1-$G$58)*J6</f>
        <v/>
      </c>
      <c r="K7" s="266">
        <f>(1-$G$58)*K6</f>
        <v/>
      </c>
    </row>
    <row r="8">
      <c r="A8" s="144" t="inlineStr">
        <is>
          <t>SG&amp;A</t>
        </is>
      </c>
      <c r="B8" s="264">
        <f>IncomeStatement!C8</f>
        <v/>
      </c>
      <c r="C8" s="264">
        <f>IncomeStatement!D8</f>
        <v/>
      </c>
      <c r="D8" s="264">
        <f>IncomeStatement!E8</f>
        <v/>
      </c>
      <c r="E8" s="264">
        <f>IncomeStatement!F8</f>
        <v/>
      </c>
      <c r="F8" s="265">
        <f>IncomeStatement!G8</f>
        <v/>
      </c>
      <c r="G8" s="266">
        <f>IncomeStatement!H8</f>
        <v/>
      </c>
      <c r="H8" s="266">
        <f>IncomeStatement!I8</f>
        <v/>
      </c>
      <c r="I8" s="266">
        <f>$G$59*I6</f>
        <v/>
      </c>
      <c r="J8" s="266">
        <f>$G$59*J6</f>
        <v/>
      </c>
      <c r="K8" s="266">
        <f>$G$59*K6</f>
        <v/>
      </c>
    </row>
    <row r="9">
      <c r="A9" s="144" t="inlineStr">
        <is>
          <t>Others</t>
        </is>
      </c>
      <c r="B9" s="264">
        <f>IncomeStatement!C9</f>
        <v/>
      </c>
      <c r="C9" s="264">
        <f>IncomeStatement!D9</f>
        <v/>
      </c>
      <c r="D9" s="264">
        <f>IncomeStatement!E9</f>
        <v/>
      </c>
      <c r="E9" s="264">
        <f>IncomeStatement!F9</f>
        <v/>
      </c>
      <c r="F9" s="265">
        <f>IncomeStatement!G9</f>
        <v/>
      </c>
      <c r="G9" s="266">
        <f>IncomeStatement!H9</f>
        <v/>
      </c>
      <c r="H9" s="266">
        <f>IncomeStatement!I9</f>
        <v/>
      </c>
      <c r="I9" s="266">
        <f>$G$60*I6</f>
        <v/>
      </c>
      <c r="J9" s="266">
        <f>$G$60*J6</f>
        <v/>
      </c>
      <c r="K9" s="266">
        <f>$G$60*K6</f>
        <v/>
      </c>
    </row>
    <row r="10" ht="14" customHeight="1" thickBot="1">
      <c r="A10" s="128" t="inlineStr">
        <is>
          <t>Depreciation &amp; Amortization</t>
        </is>
      </c>
      <c r="B10" s="267">
        <f>IncomeStatement!C11</f>
        <v/>
      </c>
      <c r="C10" s="267">
        <f>IncomeStatement!D11</f>
        <v/>
      </c>
      <c r="D10" s="267">
        <f>IncomeStatement!E11</f>
        <v/>
      </c>
      <c r="E10" s="267">
        <f>IncomeStatement!F11</f>
        <v/>
      </c>
      <c r="F10" s="146">
        <f>IncomeStatement!G11</f>
        <v/>
      </c>
      <c r="G10" s="258">
        <f>IncomeStatement!H11</f>
        <v/>
      </c>
      <c r="H10" s="258">
        <f>IncomeStatement!I11</f>
        <v/>
      </c>
      <c r="I10" s="258">
        <f>$G$61*I6</f>
        <v/>
      </c>
      <c r="J10" s="258">
        <f>$G$61*J6</f>
        <v/>
      </c>
      <c r="K10" s="258">
        <f>$G$61*K6</f>
        <v/>
      </c>
    </row>
    <row r="11" ht="14" customHeight="1" thickTop="1">
      <c r="A11" s="137" t="inlineStr">
        <is>
          <t>Operating income (EBIT)</t>
        </is>
      </c>
      <c r="B11" s="268">
        <f>B6-B7-B8-B9-B10</f>
        <v/>
      </c>
      <c r="C11" s="268">
        <f>C6-C7-C8-C9-C10</f>
        <v/>
      </c>
      <c r="D11" s="268">
        <f>D6-D7-D8-D9-D10</f>
        <v/>
      </c>
      <c r="E11" s="268">
        <f>E6-E7-E8-E9-E10</f>
        <v/>
      </c>
      <c r="F11" s="269">
        <f>F6-F7-F8-F9-F10</f>
        <v/>
      </c>
      <c r="G11" s="270">
        <f>G6-G7-G8-G9-G10</f>
        <v/>
      </c>
      <c r="H11" s="270">
        <f>H6-H7-H8-H9-H10</f>
        <v/>
      </c>
      <c r="I11" s="270">
        <f>I6-I7-I8-I9-I10</f>
        <v/>
      </c>
      <c r="J11" s="270">
        <f>J6-J7-J8-J9-J10</f>
        <v/>
      </c>
      <c r="K11" s="270">
        <f>K6-K7-K8-K9-K10</f>
        <v/>
      </c>
    </row>
    <row r="12" ht="14" customHeight="1" thickBot="1">
      <c r="A12" s="142" t="inlineStr">
        <is>
          <t>Interest expense</t>
        </is>
      </c>
      <c r="B12" s="147">
        <f>IncomeStatement!C14</f>
        <v/>
      </c>
      <c r="C12" s="147">
        <f>IncomeStatement!D14</f>
        <v/>
      </c>
      <c r="D12" s="147">
        <f>IncomeStatement!E14</f>
        <v/>
      </c>
      <c r="E12" s="147">
        <f>IncomeStatement!F14</f>
        <v/>
      </c>
      <c r="F12" s="148">
        <f>IncomeStatement!G14</f>
        <v/>
      </c>
      <c r="G12" s="271">
        <f>IncomeStatement!H14</f>
        <v/>
      </c>
      <c r="H12" s="271">
        <f>IncomeStatement!I14</f>
        <v/>
      </c>
      <c r="I12" s="271">
        <f>H12</f>
        <v/>
      </c>
      <c r="J12" s="271">
        <f>I12</f>
        <v/>
      </c>
      <c r="K12" s="271">
        <f>J12</f>
        <v/>
      </c>
    </row>
    <row r="13" ht="14" customHeight="1" thickTop="1">
      <c r="A13" s="137" t="inlineStr">
        <is>
          <t>Taxable income</t>
        </is>
      </c>
      <c r="B13" s="268">
        <f>B11-B12</f>
        <v/>
      </c>
      <c r="C13" s="268">
        <f>C11-C12</f>
        <v/>
      </c>
      <c r="D13" s="268">
        <f>D11-D12</f>
        <v/>
      </c>
      <c r="E13" s="268">
        <f>E11-E12</f>
        <v/>
      </c>
      <c r="F13" s="269">
        <f>F11-F12</f>
        <v/>
      </c>
      <c r="G13" s="270">
        <f>G11-G12</f>
        <v/>
      </c>
      <c r="H13" s="270">
        <f>H11-H12</f>
        <v/>
      </c>
      <c r="I13" s="270">
        <f>I11-I12</f>
        <v/>
      </c>
      <c r="J13" s="270">
        <f>J11-J12</f>
        <v/>
      </c>
      <c r="K13" s="270">
        <f>K11-K12</f>
        <v/>
      </c>
    </row>
    <row r="14" ht="14" customHeight="1" thickBot="1">
      <c r="A14" s="141" t="inlineStr">
        <is>
          <t>Taxes</t>
        </is>
      </c>
      <c r="B14" s="272">
        <f>IncomeStatement!C17</f>
        <v/>
      </c>
      <c r="C14" s="272">
        <f>IncomeStatement!D17</f>
        <v/>
      </c>
      <c r="D14" s="272">
        <f>IncomeStatement!E17</f>
        <v/>
      </c>
      <c r="E14" s="272">
        <f>IncomeStatement!F17</f>
        <v/>
      </c>
      <c r="F14" s="273">
        <f>IncomeStatement!G17</f>
        <v/>
      </c>
      <c r="G14" s="271">
        <f>IncomeStatement!H17</f>
        <v/>
      </c>
      <c r="H14" s="271">
        <f>IncomeStatement!I17</f>
        <v/>
      </c>
      <c r="I14" s="271">
        <f>I13*$G$62</f>
        <v/>
      </c>
      <c r="J14" s="271">
        <f>J13*$G$62</f>
        <v/>
      </c>
      <c r="K14" s="271">
        <f>K13*$G$62</f>
        <v/>
      </c>
    </row>
    <row r="15" ht="14" customHeight="1" thickTop="1">
      <c r="A15" s="137" t="inlineStr">
        <is>
          <t>Net income</t>
        </is>
      </c>
      <c r="B15" s="268">
        <f>B13-B14</f>
        <v/>
      </c>
      <c r="C15" s="268">
        <f>C13-C14</f>
        <v/>
      </c>
      <c r="D15" s="268">
        <f>D13-D14</f>
        <v/>
      </c>
      <c r="E15" s="268">
        <f>E13-E14</f>
        <v/>
      </c>
      <c r="F15" s="269">
        <f>F13-F14</f>
        <v/>
      </c>
      <c r="G15" s="270">
        <f>G13-G14</f>
        <v/>
      </c>
      <c r="H15" s="270">
        <f>H13-H14</f>
        <v/>
      </c>
      <c r="I15" s="270">
        <f>I13-I14</f>
        <v/>
      </c>
      <c r="J15" s="270">
        <f>J13-J14</f>
        <v/>
      </c>
      <c r="K15" s="270">
        <f>K13-K14</f>
        <v/>
      </c>
    </row>
    <row r="16">
      <c r="C16" s="258" t="n"/>
      <c r="D16" s="258" t="n"/>
      <c r="E16" s="258" t="n"/>
      <c r="F16" s="258" t="n"/>
      <c r="G16" s="258" t="n"/>
      <c r="H16" s="258" t="n"/>
      <c r="I16" s="258" t="n"/>
      <c r="J16" s="258" t="n"/>
      <c r="K16" s="258" t="n"/>
    </row>
    <row r="17">
      <c r="C17" s="258" t="n"/>
      <c r="D17" s="258" t="n"/>
      <c r="E17" s="258" t="n"/>
      <c r="F17" s="258" t="n"/>
      <c r="G17" s="258" t="n"/>
      <c r="H17" s="258" t="n"/>
      <c r="I17" s="258" t="n"/>
      <c r="J17" s="258" t="n"/>
      <c r="K17" s="258" t="n"/>
    </row>
    <row r="18">
      <c r="A18" s="62" t="inlineStr">
        <is>
          <t>I) Cash Flow Analysis (Free Cash Flow to Firm: FCFF)</t>
        </is>
      </c>
      <c r="B18" s="62" t="n"/>
      <c r="C18" s="258" t="n"/>
      <c r="D18" s="258" t="n"/>
      <c r="E18" s="258" t="n"/>
      <c r="F18" s="258" t="n"/>
      <c r="G18" s="258" t="n"/>
      <c r="H18" s="258" t="n"/>
      <c r="I18" s="258" t="n"/>
      <c r="J18" s="258" t="n"/>
      <c r="K18" s="258" t="n"/>
    </row>
    <row r="19" ht="14" customHeight="1" thickBot="1">
      <c r="A19" s="132" t="inlineStr">
        <is>
          <t>(millions)</t>
        </is>
      </c>
      <c r="B19" s="131" t="inlineStr">
        <is>
          <t>FY-4</t>
        </is>
      </c>
      <c r="C19" s="131" t="inlineStr">
        <is>
          <t>FY-3</t>
        </is>
      </c>
      <c r="D19" s="131" t="inlineStr">
        <is>
          <t>FY-2</t>
        </is>
      </c>
      <c r="E19" s="131" t="inlineStr">
        <is>
          <t>FY-1</t>
        </is>
      </c>
      <c r="F19" s="130" t="inlineStr">
        <is>
          <t>FY0</t>
        </is>
      </c>
      <c r="G19" s="129" t="inlineStr">
        <is>
          <t>FY+1</t>
        </is>
      </c>
      <c r="H19" s="129" t="inlineStr">
        <is>
          <t>FY+2</t>
        </is>
      </c>
      <c r="I19" s="129" t="inlineStr">
        <is>
          <t>FY+3</t>
        </is>
      </c>
      <c r="J19" s="129" t="inlineStr">
        <is>
          <t>FY+4</t>
        </is>
      </c>
      <c r="K19" s="129" t="inlineStr">
        <is>
          <t>FY+5</t>
        </is>
      </c>
    </row>
    <row r="20" ht="14" customHeight="1" thickTop="1">
      <c r="A20" s="128" t="inlineStr">
        <is>
          <t>EBIT *(1-Tax)</t>
        </is>
      </c>
      <c r="B20" s="262">
        <f>B11*(1-B62)</f>
        <v/>
      </c>
      <c r="C20" s="262">
        <f>C11*(1-C62)</f>
        <v/>
      </c>
      <c r="D20" s="262">
        <f>D11*(1-D62)</f>
        <v/>
      </c>
      <c r="E20" s="262">
        <f>E11*(1-E62)</f>
        <v/>
      </c>
      <c r="F20" s="263">
        <f>F11*(1-F62)</f>
        <v/>
      </c>
      <c r="G20" s="258">
        <f>G11*(1-$G$62)</f>
        <v/>
      </c>
      <c r="H20" s="258">
        <f>H11*(1-$G$62)</f>
        <v/>
      </c>
      <c r="I20" s="258">
        <f>I11*(1-$G$62)</f>
        <v/>
      </c>
      <c r="J20" s="258">
        <f>J11*(1-$G$62)</f>
        <v/>
      </c>
      <c r="K20" s="258">
        <f>K11*(1-$G$62)</f>
        <v/>
      </c>
    </row>
    <row r="21">
      <c r="A21" s="124" t="inlineStr">
        <is>
          <t>+ D&amp;A</t>
        </is>
      </c>
      <c r="B21" s="264">
        <f>B10</f>
        <v/>
      </c>
      <c r="C21" s="264">
        <f>C10</f>
        <v/>
      </c>
      <c r="D21" s="264">
        <f>D10</f>
        <v/>
      </c>
      <c r="E21" s="264">
        <f>E10</f>
        <v/>
      </c>
      <c r="F21" s="265">
        <f>F10</f>
        <v/>
      </c>
      <c r="G21" s="274">
        <f>G10</f>
        <v/>
      </c>
      <c r="H21" s="274">
        <f>H10</f>
        <v/>
      </c>
      <c r="I21" s="274">
        <f>I10</f>
        <v/>
      </c>
      <c r="J21" s="274">
        <f>J10</f>
        <v/>
      </c>
      <c r="K21" s="274">
        <f>K10</f>
        <v/>
      </c>
    </row>
    <row r="22">
      <c r="A22" s="124" t="inlineStr">
        <is>
          <t>- Chg. In WC</t>
        </is>
      </c>
      <c r="B22" s="264" t="n">
        <v>3447</v>
      </c>
      <c r="C22" s="264" t="n">
        <v>3447</v>
      </c>
      <c r="D22" s="264" t="n">
        <v>165</v>
      </c>
      <c r="E22" s="264" t="n">
        <v>1193</v>
      </c>
      <c r="F22" s="265" t="n">
        <v>1922</v>
      </c>
      <c r="G22" s="274">
        <f>AVERAGE(C22:F22)</f>
        <v/>
      </c>
      <c r="H22" s="274">
        <f>AVERAGE(D22:G22)</f>
        <v/>
      </c>
      <c r="I22" s="274">
        <f>AVERAGE(E22:H22)</f>
        <v/>
      </c>
      <c r="J22" s="274">
        <f>AVERAGE(F22:I22)</f>
        <v/>
      </c>
      <c r="K22" s="274">
        <f>AVERAGE(G22:J22)</f>
        <v/>
      </c>
    </row>
    <row r="23" ht="14" customHeight="1" thickBot="1">
      <c r="A23" s="120" t="inlineStr">
        <is>
          <t>- CAPEX</t>
        </is>
      </c>
      <c r="B23" s="267" t="n">
        <v>13839</v>
      </c>
      <c r="C23" s="267" t="n">
        <v>13839</v>
      </c>
      <c r="D23" s="267" t="n">
        <v>1232</v>
      </c>
      <c r="E23" s="267" t="n">
        <v>5659</v>
      </c>
      <c r="F23" s="275" t="n">
        <v>3819</v>
      </c>
      <c r="G23" s="276">
        <f>F23*(1+$G$63)</f>
        <v/>
      </c>
      <c r="H23" s="276">
        <f>G23*(1+$G$63)</f>
        <v/>
      </c>
      <c r="I23" s="276">
        <f>H23*(1+$G$63)</f>
        <v/>
      </c>
      <c r="J23" s="276">
        <f>I23*(1+$G$63)</f>
        <v/>
      </c>
      <c r="K23" s="276">
        <f>J23*(1+$G$63)</f>
        <v/>
      </c>
    </row>
    <row r="24" ht="14" customHeight="1" thickTop="1">
      <c r="A24" s="116" t="inlineStr">
        <is>
          <t>Free Cash Flow to Firm</t>
        </is>
      </c>
      <c r="B24" s="277">
        <f>B20+B21-B22-B23</f>
        <v/>
      </c>
      <c r="C24" s="277">
        <f>C20+C21-C22-C23</f>
        <v/>
      </c>
      <c r="D24" s="277">
        <f>D20+D21-D22-D23</f>
        <v/>
      </c>
      <c r="E24" s="277">
        <f>E20+E21-E22-E23</f>
        <v/>
      </c>
      <c r="F24" s="278">
        <f>F20+F21-F22-F23</f>
        <v/>
      </c>
      <c r="G24" s="279">
        <f>G20+G21-G22-G23</f>
        <v/>
      </c>
      <c r="H24" s="279">
        <f>H20+H21-H22-H23</f>
        <v/>
      </c>
      <c r="I24" s="279">
        <f>I20+I21-I22-I23</f>
        <v/>
      </c>
      <c r="J24" s="279">
        <f>J20+J21-J22-J23</f>
        <v/>
      </c>
      <c r="K24" s="279">
        <f>K20+K21-K22-K23</f>
        <v/>
      </c>
      <c r="L24" s="280" t="n"/>
    </row>
    <row r="25" ht="14" customHeight="1" thickBot="1">
      <c r="A25" s="62" t="n"/>
      <c r="B25" s="62" t="n"/>
      <c r="C25" s="62" t="n"/>
      <c r="D25" s="62" t="n"/>
      <c r="E25" s="62" t="n"/>
      <c r="F25" s="62" t="n"/>
      <c r="G25" s="280" t="n"/>
      <c r="H25" s="59" t="n"/>
      <c r="I25" s="59" t="n"/>
      <c r="J25" s="223" t="inlineStr">
        <is>
          <t>Terminal Value:</t>
        </is>
      </c>
      <c r="K25" s="281">
        <f>$K$15*$C$70</f>
        <v/>
      </c>
      <c r="L25" s="280" t="n"/>
    </row>
    <row r="26">
      <c r="K26" s="282">
        <f>SUM(K24:K25)</f>
        <v/>
      </c>
    </row>
    <row r="27">
      <c r="C27" s="257" t="n"/>
      <c r="D27" s="257" t="n"/>
      <c r="E27" s="257" t="n"/>
      <c r="F27" s="257" t="n"/>
      <c r="G27" s="257" t="n"/>
      <c r="H27" s="257" t="n"/>
      <c r="I27" s="257" t="n"/>
      <c r="M27" s="257" t="n"/>
    </row>
    <row r="28">
      <c r="C28" s="256" t="n"/>
      <c r="D28" s="256" t="n"/>
      <c r="E28" s="223" t="inlineStr">
        <is>
          <t>Total PV of FCFF:</t>
        </is>
      </c>
      <c r="G28" s="281">
        <f>NPV(WACC!$D$13,G24,H24,I24,J24,K26)</f>
        <v/>
      </c>
    </row>
    <row r="29" ht="14" customHeight="1" thickBot="1">
      <c r="C29" s="228" t="inlineStr">
        <is>
          <t>- Net Debt (Total Debt - Cash &amp; Eq)</t>
        </is>
      </c>
      <c r="G29" s="280">
        <f>9425-31437</f>
        <v/>
      </c>
    </row>
    <row r="30">
      <c r="C30" s="256" t="n"/>
      <c r="D30" s="256" t="n"/>
      <c r="E30" s="256" t="n"/>
      <c r="F30" s="62" t="n"/>
      <c r="G30" s="283">
        <f>G28-G29</f>
        <v/>
      </c>
    </row>
    <row r="31" ht="14" customHeight="1" thickBot="1"/>
    <row r="32" ht="15" customHeight="1" thickBot="1" thickTop="1">
      <c r="C32" s="256" t="n"/>
      <c r="D32" s="256" t="n"/>
      <c r="E32" s="224" t="inlineStr">
        <is>
          <t>Per share value:</t>
        </is>
      </c>
      <c r="F32" s="284" t="n"/>
      <c r="G32" s="285">
        <f>G30/G65</f>
        <v/>
      </c>
    </row>
    <row r="33" ht="14" customHeight="1" thickTop="1"/>
    <row r="36">
      <c r="A36" s="62" t="inlineStr">
        <is>
          <t>II) Cash Flow Analysis (Free Cash Flow to Shareholders)</t>
        </is>
      </c>
      <c r="B36" s="62" t="n"/>
      <c r="C36" s="258" t="n"/>
      <c r="D36" s="258" t="n"/>
      <c r="E36" s="258" t="n"/>
      <c r="F36" s="258" t="n"/>
      <c r="G36" s="258" t="n"/>
      <c r="H36" s="258" t="n"/>
      <c r="I36" s="258" t="n"/>
      <c r="J36" s="258" t="n"/>
      <c r="K36" s="258" t="n"/>
    </row>
    <row r="37" ht="14" customHeight="1" thickBot="1">
      <c r="A37" s="132" t="inlineStr">
        <is>
          <t>(millions)</t>
        </is>
      </c>
      <c r="B37" s="131" t="inlineStr">
        <is>
          <t>FY-4</t>
        </is>
      </c>
      <c r="C37" s="131" t="inlineStr">
        <is>
          <t>FY-3</t>
        </is>
      </c>
      <c r="D37" s="131" t="inlineStr">
        <is>
          <t>FY-2</t>
        </is>
      </c>
      <c r="E37" s="131" t="inlineStr">
        <is>
          <t>FY-1</t>
        </is>
      </c>
      <c r="F37" s="130" t="inlineStr">
        <is>
          <t>FY0</t>
        </is>
      </c>
      <c r="G37" s="129" t="inlineStr">
        <is>
          <t>FY+1</t>
        </is>
      </c>
      <c r="H37" s="129" t="inlineStr">
        <is>
          <t>FY+2</t>
        </is>
      </c>
      <c r="I37" s="129" t="inlineStr">
        <is>
          <t>FY+3</t>
        </is>
      </c>
      <c r="J37" s="129" t="inlineStr">
        <is>
          <t>FY+4</t>
        </is>
      </c>
      <c r="K37" s="129" t="inlineStr">
        <is>
          <t>FY+5</t>
        </is>
      </c>
    </row>
    <row r="38" ht="14" customHeight="1" thickTop="1">
      <c r="A38" s="128" t="inlineStr">
        <is>
          <t>Net Income</t>
        </is>
      </c>
      <c r="B38" s="262">
        <f>B15</f>
        <v/>
      </c>
      <c r="C38" s="262">
        <f>C15</f>
        <v/>
      </c>
      <c r="D38" s="262">
        <f>D15</f>
        <v/>
      </c>
      <c r="E38" s="262">
        <f>E15</f>
        <v/>
      </c>
      <c r="F38" s="263">
        <f>F15</f>
        <v/>
      </c>
      <c r="G38" s="258">
        <f>G15</f>
        <v/>
      </c>
      <c r="H38" s="258">
        <f>H15</f>
        <v/>
      </c>
      <c r="I38" s="258">
        <f>I15</f>
        <v/>
      </c>
      <c r="J38" s="258">
        <f>J15</f>
        <v/>
      </c>
      <c r="K38" s="258">
        <f>K15</f>
        <v/>
      </c>
    </row>
    <row r="39">
      <c r="A39" s="124" t="inlineStr">
        <is>
          <t>+ D&amp;A</t>
        </is>
      </c>
      <c r="B39" s="264">
        <f>B10</f>
        <v/>
      </c>
      <c r="C39" s="264">
        <f>C10</f>
        <v/>
      </c>
      <c r="D39" s="264">
        <f>D10</f>
        <v/>
      </c>
      <c r="E39" s="264">
        <f>E10</f>
        <v/>
      </c>
      <c r="F39" s="265">
        <f>F10</f>
        <v/>
      </c>
      <c r="G39" s="274">
        <f>G10</f>
        <v/>
      </c>
      <c r="H39" s="274">
        <f>H10</f>
        <v/>
      </c>
      <c r="I39" s="274">
        <f>I10</f>
        <v/>
      </c>
      <c r="J39" s="274">
        <f>J10</f>
        <v/>
      </c>
      <c r="K39" s="274">
        <f>K10</f>
        <v/>
      </c>
    </row>
    <row r="40">
      <c r="A40" s="124" t="inlineStr">
        <is>
          <t>- Chg. In WC</t>
        </is>
      </c>
      <c r="B40" s="264" t="n">
        <v>3447</v>
      </c>
      <c r="C40" s="264" t="n">
        <v>3447</v>
      </c>
      <c r="D40" s="264" t="n">
        <v>165</v>
      </c>
      <c r="E40" s="264" t="n">
        <v>1193</v>
      </c>
      <c r="F40" s="265" t="n">
        <v>1922</v>
      </c>
      <c r="G40" s="274">
        <f>AVERAGE(C40:F40)</f>
        <v/>
      </c>
      <c r="H40" s="274">
        <f>AVERAGE(D40:G40)</f>
        <v/>
      </c>
      <c r="I40" s="274">
        <f>AVERAGE(E40:H40)</f>
        <v/>
      </c>
      <c r="J40" s="274">
        <f>AVERAGE(F40:I40)</f>
        <v/>
      </c>
      <c r="K40" s="274">
        <f>AVERAGE(G40:J40)</f>
        <v/>
      </c>
    </row>
    <row r="41" ht="14" customHeight="1" thickBot="1">
      <c r="A41" s="120" t="inlineStr">
        <is>
          <t>- CAPEX</t>
        </is>
      </c>
      <c r="B41" s="267" t="n">
        <v>13839</v>
      </c>
      <c r="C41" s="267" t="n">
        <v>13839</v>
      </c>
      <c r="D41" s="267" t="n">
        <v>1232</v>
      </c>
      <c r="E41" s="267" t="n">
        <v>5659</v>
      </c>
      <c r="F41" s="275" t="n">
        <v>3819</v>
      </c>
      <c r="G41" s="276">
        <f>F41*(1+$G$63)</f>
        <v/>
      </c>
      <c r="H41" s="276">
        <f>G41*(1+$G$63)</f>
        <v/>
      </c>
      <c r="I41" s="276">
        <f>H41*(1+$G$63)</f>
        <v/>
      </c>
      <c r="J41" s="276">
        <f>I41*(1+$G$63)</f>
        <v/>
      </c>
      <c r="K41" s="276">
        <f>J41*(1+$G$63)</f>
        <v/>
      </c>
    </row>
    <row r="42" ht="14" customHeight="1" thickTop="1">
      <c r="A42" s="116" t="inlineStr">
        <is>
          <t>Free Cash Flow to Shareholders</t>
        </is>
      </c>
      <c r="B42" s="277">
        <f>B38+B39-B40-B41</f>
        <v/>
      </c>
      <c r="C42" s="277">
        <f>C38+C39-C40-C41</f>
        <v/>
      </c>
      <c r="D42" s="277">
        <f>D38+D39-D40-D41</f>
        <v/>
      </c>
      <c r="E42" s="277">
        <f>E38+E39-E40-E41</f>
        <v/>
      </c>
      <c r="F42" s="278">
        <f>F38+F39-F40-F41</f>
        <v/>
      </c>
      <c r="G42" s="279">
        <f>G38+G39-G40-G41</f>
        <v/>
      </c>
      <c r="H42" s="279">
        <f>H38+H39-H40-H41</f>
        <v/>
      </c>
      <c r="I42" s="279">
        <f>I38+I39-I40-I41</f>
        <v/>
      </c>
      <c r="J42" s="279">
        <f>J38+J39-J40-J41</f>
        <v/>
      </c>
      <c r="K42" s="279">
        <f>K38+K39-K40-K41</f>
        <v/>
      </c>
      <c r="L42" s="280" t="n"/>
    </row>
    <row r="43" ht="14" customHeight="1" thickBot="1">
      <c r="A43" s="62" t="n"/>
      <c r="B43" s="62" t="n"/>
      <c r="C43" s="62" t="n"/>
      <c r="D43" s="62" t="n"/>
      <c r="E43" s="62" t="n"/>
      <c r="F43" s="62" t="n"/>
      <c r="G43" s="280" t="n"/>
      <c r="H43" s="280" t="n"/>
      <c r="I43" s="280" t="n"/>
      <c r="J43" s="223" t="inlineStr">
        <is>
          <t>Terminal Value:</t>
        </is>
      </c>
      <c r="K43" s="281">
        <f>$K$15*$C$70</f>
        <v/>
      </c>
      <c r="L43" s="280" t="n"/>
    </row>
    <row r="44">
      <c r="K44" s="282">
        <f>SUM(K42:K43)</f>
        <v/>
      </c>
    </row>
    <row r="45">
      <c r="C45" s="257" t="n"/>
      <c r="D45" s="257" t="n"/>
      <c r="E45" s="257" t="n"/>
      <c r="F45" s="257" t="n"/>
      <c r="G45" s="257" t="n"/>
      <c r="H45" s="257" t="n"/>
      <c r="I45" s="257" t="n"/>
      <c r="M45" s="257" t="n"/>
    </row>
    <row r="46">
      <c r="C46" s="223" t="inlineStr">
        <is>
          <t>Total PV of Free Cash Flow to Shareholders:</t>
        </is>
      </c>
      <c r="G46" s="281">
        <f>NPV(WACC!$D$7,G42,H42,I42,J42,K44)</f>
        <v/>
      </c>
    </row>
    <row r="47" ht="14" customHeight="1" thickBot="1"/>
    <row r="48" ht="15" customHeight="1" thickBot="1" thickTop="1">
      <c r="C48" s="256" t="n"/>
      <c r="D48" s="256" t="n"/>
      <c r="E48" s="224" t="inlineStr">
        <is>
          <t>Per share value:</t>
        </is>
      </c>
      <c r="F48" s="284" t="n"/>
      <c r="G48" s="285">
        <f>G46/G65</f>
        <v/>
      </c>
    </row>
    <row r="49" ht="14" customHeight="1" thickTop="1"/>
    <row r="55">
      <c r="A55" s="62" t="inlineStr">
        <is>
          <t>DCF Assumptions Based on History</t>
        </is>
      </c>
      <c r="B55" s="62" t="n"/>
      <c r="D55" s="107" t="n"/>
      <c r="E55" s="107" t="n"/>
    </row>
    <row r="56">
      <c r="A56" s="62" t="n"/>
      <c r="B56" s="72" t="inlineStr">
        <is>
          <t>FY-4</t>
        </is>
      </c>
      <c r="C56" s="72" t="inlineStr">
        <is>
          <t>FY-3</t>
        </is>
      </c>
      <c r="D56" s="150" t="inlineStr">
        <is>
          <t>FY-2</t>
        </is>
      </c>
      <c r="E56" s="150" t="inlineStr">
        <is>
          <t>FY-1</t>
        </is>
      </c>
      <c r="F56" s="72" t="inlineStr">
        <is>
          <t>FY0</t>
        </is>
      </c>
    </row>
    <row r="57">
      <c r="A57" s="79" t="inlineStr">
        <is>
          <t>Revenue Growth</t>
        </is>
      </c>
      <c r="B57" s="151" t="inlineStr">
        <is>
          <t xml:space="preserve"> </t>
        </is>
      </c>
      <c r="C57" s="106">
        <f>C6/B6-1</f>
        <v/>
      </c>
      <c r="D57" s="106">
        <f>D6/C6-1</f>
        <v/>
      </c>
      <c r="E57" s="106">
        <f>E6/D6-1</f>
        <v/>
      </c>
      <c r="F57" s="106">
        <f>F6/E6-1</f>
        <v/>
      </c>
      <c r="G57" s="102">
        <f>AVERAGE(C57:F57)</f>
        <v/>
      </c>
    </row>
    <row r="58">
      <c r="A58" s="79" t="inlineStr">
        <is>
          <t>COGS margin:</t>
        </is>
      </c>
      <c r="B58" s="79" t="n"/>
      <c r="C58" s="286">
        <f>(C6-C7)/C6</f>
        <v/>
      </c>
      <c r="D58" s="286">
        <f>(D6-D7)/D6</f>
        <v/>
      </c>
      <c r="E58" s="286">
        <f>(E6-E7)/E6</f>
        <v/>
      </c>
      <c r="F58" s="286">
        <f>(F6-F7)/F6</f>
        <v/>
      </c>
      <c r="G58" s="102">
        <f>AVERAGE(C58:F58)</f>
        <v/>
      </c>
    </row>
    <row r="59">
      <c r="A59" s="79" t="inlineStr">
        <is>
          <t>SG&amp;A/Sales</t>
        </is>
      </c>
      <c r="B59" s="79" t="n"/>
      <c r="C59" s="286">
        <f>C8/C6</f>
        <v/>
      </c>
      <c r="D59" s="286">
        <f>D8/D6</f>
        <v/>
      </c>
      <c r="E59" s="286">
        <f>E8/E6</f>
        <v/>
      </c>
      <c r="F59" s="286">
        <f>F8/F6</f>
        <v/>
      </c>
      <c r="G59" s="102">
        <f>AVERAGE(C59:F59)</f>
        <v/>
      </c>
    </row>
    <row r="60">
      <c r="A60" s="79" t="inlineStr">
        <is>
          <t>Others /Sales</t>
        </is>
      </c>
      <c r="B60" s="79" t="n"/>
      <c r="C60" s="286">
        <f>C9/C6</f>
        <v/>
      </c>
      <c r="D60" s="286">
        <f>D9/D6</f>
        <v/>
      </c>
      <c r="E60" s="286">
        <f>E9/E6</f>
        <v/>
      </c>
      <c r="F60" s="286">
        <f>F9/F6</f>
        <v/>
      </c>
      <c r="G60" s="102">
        <f>AVERAGE(C60:F60)</f>
        <v/>
      </c>
    </row>
    <row r="61">
      <c r="A61" s="152" t="inlineStr">
        <is>
          <t>D&amp;A / Sales</t>
        </is>
      </c>
      <c r="B61" s="79" t="n"/>
      <c r="C61" s="286">
        <f>C10/C6</f>
        <v/>
      </c>
      <c r="D61" s="286">
        <f>D10/D6</f>
        <v/>
      </c>
      <c r="E61" s="286">
        <f>E10/E6</f>
        <v/>
      </c>
      <c r="F61" s="286">
        <f>F10/F6</f>
        <v/>
      </c>
      <c r="G61" s="102">
        <f>AVERAGE(C61:F61)</f>
        <v/>
      </c>
    </row>
    <row r="62">
      <c r="A62" s="79" t="inlineStr">
        <is>
          <t>Tax rate:</t>
        </is>
      </c>
      <c r="B62" s="79" t="n"/>
      <c r="C62" s="286">
        <f>C14/C13</f>
        <v/>
      </c>
      <c r="D62" s="286">
        <f>D14/D13</f>
        <v/>
      </c>
      <c r="E62" s="286">
        <f>E14/E13</f>
        <v/>
      </c>
      <c r="F62" s="286">
        <f>F14/F13</f>
        <v/>
      </c>
      <c r="G62" s="102">
        <f>AVERAGE(C62:F62)</f>
        <v/>
      </c>
    </row>
    <row r="63">
      <c r="A63" s="79" t="inlineStr">
        <is>
          <t>CAPEX Growth Rate</t>
        </is>
      </c>
      <c r="B63" s="79" t="n"/>
      <c r="C63" s="104" t="n"/>
      <c r="D63" s="104" t="n"/>
      <c r="E63" s="104" t="n"/>
      <c r="F63" s="104" t="n"/>
      <c r="G63" s="102" t="n">
        <v>0.04</v>
      </c>
    </row>
    <row r="64">
      <c r="A64" s="79" t="inlineStr">
        <is>
          <t>WACC:</t>
        </is>
      </c>
      <c r="B64" s="79" t="n"/>
      <c r="C64" s="100" t="n"/>
      <c r="D64" s="103" t="n"/>
      <c r="E64" s="103" t="n"/>
      <c r="F64" s="100" t="n"/>
      <c r="G64" s="102">
        <f>WACC!D13</f>
        <v/>
      </c>
    </row>
    <row r="65">
      <c r="A65" s="101" t="inlineStr">
        <is>
          <t># of shares out (millions)</t>
        </is>
      </c>
      <c r="B65" s="101" t="n"/>
      <c r="C65" s="100" t="n"/>
      <c r="D65" s="100" t="n"/>
      <c r="E65" s="100" t="n"/>
      <c r="F65" s="100" t="n"/>
      <c r="G65" s="99" t="n">
        <v>4976.06</v>
      </c>
    </row>
    <row r="66">
      <c r="A66" s="98" t="n"/>
      <c r="B66" s="98" t="n"/>
    </row>
    <row r="67">
      <c r="A67" s="98" t="n"/>
      <c r="B67" s="98" t="n"/>
    </row>
    <row r="68">
      <c r="A68" s="185" t="inlineStr">
        <is>
          <t>Current Stock Price (10/7/2021)</t>
        </is>
      </c>
      <c r="C68" s="58" t="n">
        <v>106.1</v>
      </c>
    </row>
    <row r="69">
      <c r="A69" s="58" t="inlineStr">
        <is>
          <t>Next FY EPS</t>
        </is>
      </c>
      <c r="C69" s="73" t="n">
        <v>1.95</v>
      </c>
    </row>
    <row r="70">
      <c r="A70" s="98" t="inlineStr">
        <is>
          <t>P/E Terminal Multiple</t>
        </is>
      </c>
      <c r="B70" s="98" t="n"/>
      <c r="C70" s="97">
        <f>C68/C69</f>
        <v/>
      </c>
    </row>
  </sheetData>
  <mergeCells count="7">
    <mergeCell ref="B4:F4"/>
    <mergeCell ref="E32:F32"/>
    <mergeCell ref="C46:F46"/>
    <mergeCell ref="E28:F28"/>
    <mergeCell ref="C29:F29"/>
    <mergeCell ref="E48:F48"/>
    <mergeCell ref="G4:K4"/>
  </mergeCells>
  <pageMargins left="0.75" right="0.75" top="1" bottom="1" header="0.5" footer="0.5"/>
  <pageSetup orientation="portrait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Sivin</dc:creator>
  <dcterms:created xmlns:dcterms="http://purl.org/dc/terms/" xmlns:xsi="http://www.w3.org/2001/XMLSchema-instance" xsi:type="dcterms:W3CDTF">2013-09-13T12:27:13Z</dcterms:created>
  <dcterms:modified xmlns:dcterms="http://purl.org/dc/terms/" xmlns:xsi="http://www.w3.org/2001/XMLSchema-instance" xsi:type="dcterms:W3CDTF">2026-02-19T16:13:10Z</dcterms:modified>
  <cp:lastModifiedBy>Mohamed Sall</cp:lastModifiedBy>
  <cp:lastPrinted>2016-02-04T20:12:45Z</cp:lastPrinted>
</cp:coreProperties>
</file>

<file path=docProps/custom.xml><?xml version="1.0" encoding="utf-8"?>
<Properties xmlns="http://schemas.openxmlformats.org/officeDocument/2006/custom-properties">
  <property name="=fdsSearchOrder" fmtid="{D5CDD505-2E9C-101B-9397-08002B2CF9AE}" pid="2">
    <vt:i4 xmlns:vt="http://schemas.openxmlformats.org/officeDocument/2006/docPropsVTypes">1</vt:i4>
  </property>
</Properties>
</file>