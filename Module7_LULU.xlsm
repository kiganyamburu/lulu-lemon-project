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4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drawings/drawing6.xml" ContentType="application/vnd.openxmlformats-officedocument.drawing+xml"/>
  <Override PartName="/xl/ctrlProps/ctrlProp17.xml" ContentType="application/vnd.ms-excel.controlproperties+xml"/>
  <Override PartName="/xl/drawings/drawing7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duta\OneDrive\Desktop\Projects\lulu-lemon-project\"/>
    </mc:Choice>
  </mc:AlternateContent>
  <bookViews>
    <workbookView showSheetTabs="0" xWindow="0" yWindow="756" windowWidth="20724" windowHeight="13164" firstSheet="1" activeTab="4"/>
  </bookViews>
  <sheets>
    <sheet name="__FDSCACHE__" sheetId="1" state="veryHidden" r:id="rId1"/>
    <sheet name="Myoutline" sheetId="2" r:id="rId2"/>
    <sheet name="IncomeStatement" sheetId="3" r:id="rId3"/>
    <sheet name="BalanceSheet" sheetId="4" r:id="rId4"/>
    <sheet name="CashFlow" sheetId="5" r:id="rId5"/>
    <sheet name="WACC" sheetId="6" r:id="rId6"/>
    <sheet name="DDM" sheetId="7" r:id="rId7"/>
    <sheet name="DCF" sheetId="8" r:id="rId8"/>
  </sheets>
  <definedNames>
    <definedName name="__FDS_HYPERLINK_TOGGLE_STATE__" hidden="1">"ON"</definedName>
    <definedName name="johns_age">WACC!#REF!</definedName>
    <definedName name="mygradetable">#REF!</definedName>
  </definedNames>
  <calcPr calcId="162913"/>
</workbook>
</file>

<file path=xl/calcChain.xml><?xml version="1.0" encoding="utf-8"?>
<calcChain xmlns="http://schemas.openxmlformats.org/spreadsheetml/2006/main">
  <c r="C70" i="8" l="1"/>
  <c r="F61" i="8"/>
  <c r="E61" i="8"/>
  <c r="D61" i="8"/>
  <c r="C61" i="8"/>
  <c r="G61" i="8" s="1"/>
  <c r="F60" i="8"/>
  <c r="E60" i="8"/>
  <c r="D60" i="8"/>
  <c r="C60" i="8"/>
  <c r="G60" i="8" s="1"/>
  <c r="C59" i="8"/>
  <c r="G58" i="8"/>
  <c r="F58" i="8"/>
  <c r="E58" i="8"/>
  <c r="D58" i="8"/>
  <c r="C58" i="8"/>
  <c r="F57" i="8"/>
  <c r="E57" i="8"/>
  <c r="D57" i="8"/>
  <c r="G57" i="8" s="1"/>
  <c r="C57" i="8"/>
  <c r="H41" i="8"/>
  <c r="I41" i="8" s="1"/>
  <c r="J41" i="8" s="1"/>
  <c r="K41" i="8" s="1"/>
  <c r="G41" i="8"/>
  <c r="H40" i="8"/>
  <c r="I40" i="8" s="1"/>
  <c r="G40" i="8"/>
  <c r="J40" i="8" s="1"/>
  <c r="F39" i="8"/>
  <c r="E39" i="8"/>
  <c r="D39" i="8"/>
  <c r="C39" i="8"/>
  <c r="B39" i="8"/>
  <c r="G29" i="8"/>
  <c r="G23" i="8"/>
  <c r="H23" i="8" s="1"/>
  <c r="I23" i="8" s="1"/>
  <c r="J23" i="8" s="1"/>
  <c r="K23" i="8" s="1"/>
  <c r="G22" i="8"/>
  <c r="F21" i="8"/>
  <c r="E21" i="8"/>
  <c r="D21" i="8"/>
  <c r="C21" i="8"/>
  <c r="B21" i="8"/>
  <c r="B20" i="8"/>
  <c r="B24" i="8" s="1"/>
  <c r="H15" i="8"/>
  <c r="H38" i="8" s="1"/>
  <c r="H14" i="8"/>
  <c r="G14" i="8"/>
  <c r="F14" i="8"/>
  <c r="E14" i="8"/>
  <c r="D14" i="8"/>
  <c r="C14" i="8"/>
  <c r="B14" i="8"/>
  <c r="H13" i="8"/>
  <c r="D13" i="8"/>
  <c r="D15" i="8" s="1"/>
  <c r="D38" i="8" s="1"/>
  <c r="D42" i="8" s="1"/>
  <c r="C13" i="8"/>
  <c r="C15" i="8" s="1"/>
  <c r="C38" i="8" s="1"/>
  <c r="C42" i="8" s="1"/>
  <c r="B13" i="8"/>
  <c r="B15" i="8" s="1"/>
  <c r="B38" i="8" s="1"/>
  <c r="B42" i="8" s="1"/>
  <c r="H12" i="8"/>
  <c r="I12" i="8" s="1"/>
  <c r="G12" i="8"/>
  <c r="G13" i="8" s="1"/>
  <c r="G15" i="8" s="1"/>
  <c r="G38" i="8" s="1"/>
  <c r="F12" i="8"/>
  <c r="F13" i="8" s="1"/>
  <c r="F15" i="8" s="1"/>
  <c r="F38" i="8" s="1"/>
  <c r="F42" i="8" s="1"/>
  <c r="E12" i="8"/>
  <c r="E13" i="8" s="1"/>
  <c r="E15" i="8" s="1"/>
  <c r="E38" i="8" s="1"/>
  <c r="E42" i="8" s="1"/>
  <c r="D12" i="8"/>
  <c r="C12" i="8"/>
  <c r="B12" i="8"/>
  <c r="H10" i="8"/>
  <c r="H21" i="8" s="1"/>
  <c r="G10" i="8"/>
  <c r="G21" i="8" s="1"/>
  <c r="H9" i="8"/>
  <c r="G9" i="8"/>
  <c r="H8" i="8"/>
  <c r="G8" i="8"/>
  <c r="F8" i="8"/>
  <c r="F59" i="8" s="1"/>
  <c r="E8" i="8"/>
  <c r="E59" i="8" s="1"/>
  <c r="D8" i="8"/>
  <c r="D59" i="8" s="1"/>
  <c r="C8" i="8"/>
  <c r="B8" i="8"/>
  <c r="H7" i="8"/>
  <c r="G7" i="8"/>
  <c r="H6" i="8"/>
  <c r="I6" i="8" s="1"/>
  <c r="J6" i="8" s="1"/>
  <c r="K6" i="8" s="1"/>
  <c r="K7" i="8" s="1"/>
  <c r="G6" i="8"/>
  <c r="D36" i="7"/>
  <c r="D37" i="7" s="1"/>
  <c r="D35" i="7"/>
  <c r="E35" i="7" s="1"/>
  <c r="E32" i="7"/>
  <c r="E33" i="7" s="1"/>
  <c r="D32" i="7"/>
  <c r="D33" i="7" s="1"/>
  <c r="E31" i="7"/>
  <c r="F31" i="7" s="1"/>
  <c r="G31" i="7" s="1"/>
  <c r="H31" i="7" s="1"/>
  <c r="D31" i="7"/>
  <c r="C18" i="7"/>
  <c r="H17" i="7"/>
  <c r="G17" i="7"/>
  <c r="E17" i="7"/>
  <c r="D17" i="7"/>
  <c r="E12" i="7"/>
  <c r="E14" i="7" s="1"/>
  <c r="C22" i="6"/>
  <c r="C21" i="6" s="1"/>
  <c r="C20" i="6" s="1"/>
  <c r="C19" i="6" s="1"/>
  <c r="K18" i="6"/>
  <c r="L18" i="6" s="1"/>
  <c r="H6" i="6"/>
  <c r="G84" i="5"/>
  <c r="F84" i="5"/>
  <c r="E84" i="5"/>
  <c r="D84" i="5"/>
  <c r="C84" i="5"/>
  <c r="H84" i="5" s="1"/>
  <c r="I35" i="5"/>
  <c r="I39" i="5" s="1"/>
  <c r="I41" i="5" s="1"/>
  <c r="H35" i="5"/>
  <c r="H40" i="4" s="1"/>
  <c r="I34" i="5"/>
  <c r="H34" i="5"/>
  <c r="I16" i="5"/>
  <c r="H16" i="5"/>
  <c r="G51" i="4"/>
  <c r="F51" i="4"/>
  <c r="E51" i="4"/>
  <c r="D51" i="4"/>
  <c r="H51" i="4" s="1"/>
  <c r="I51" i="4" s="1"/>
  <c r="C51" i="4"/>
  <c r="G50" i="4"/>
  <c r="F50" i="4"/>
  <c r="E50" i="4"/>
  <c r="D50" i="4"/>
  <c r="C50" i="4"/>
  <c r="H50" i="4" s="1"/>
  <c r="I50" i="4" s="1"/>
  <c r="G49" i="4"/>
  <c r="F49" i="4"/>
  <c r="E49" i="4"/>
  <c r="D49" i="4"/>
  <c r="C49" i="4"/>
  <c r="H49" i="4" s="1"/>
  <c r="I49" i="4" s="1"/>
  <c r="G47" i="4"/>
  <c r="F47" i="4"/>
  <c r="E47" i="4"/>
  <c r="D47" i="4"/>
  <c r="C47" i="4"/>
  <c r="B47" i="4"/>
  <c r="I42" i="4"/>
  <c r="H42" i="4"/>
  <c r="I39" i="4"/>
  <c r="H39" i="4"/>
  <c r="I37" i="4"/>
  <c r="H37" i="4"/>
  <c r="G37" i="4"/>
  <c r="G38" i="4" s="1"/>
  <c r="F37" i="4"/>
  <c r="F38" i="4" s="1"/>
  <c r="E37" i="4"/>
  <c r="E38" i="4" s="1"/>
  <c r="D37" i="4"/>
  <c r="D38" i="4" s="1"/>
  <c r="C37" i="4"/>
  <c r="C38" i="4" s="1"/>
  <c r="B37" i="4"/>
  <c r="B38" i="4" s="1"/>
  <c r="I20" i="4"/>
  <c r="H20" i="4"/>
  <c r="H62" i="3"/>
  <c r="G62" i="3"/>
  <c r="F62" i="3"/>
  <c r="E62" i="3"/>
  <c r="D62" i="3"/>
  <c r="C62" i="3"/>
  <c r="G61" i="3"/>
  <c r="F61" i="3"/>
  <c r="E61" i="3"/>
  <c r="D61" i="3"/>
  <c r="H61" i="3" s="1"/>
  <c r="C61" i="3"/>
  <c r="G60" i="3"/>
  <c r="F60" i="3"/>
  <c r="E60" i="3"/>
  <c r="D60" i="3"/>
  <c r="C60" i="3"/>
  <c r="H60" i="3" s="1"/>
  <c r="G59" i="3"/>
  <c r="F59" i="3"/>
  <c r="E59" i="3"/>
  <c r="D59" i="3"/>
  <c r="C59" i="3"/>
  <c r="H59" i="3" s="1"/>
  <c r="H58" i="3"/>
  <c r="G58" i="3"/>
  <c r="F58" i="3"/>
  <c r="E58" i="3"/>
  <c r="D58" i="3"/>
  <c r="C58" i="3"/>
  <c r="G57" i="3"/>
  <c r="F57" i="3"/>
  <c r="E57" i="3"/>
  <c r="D57" i="3"/>
  <c r="H57" i="3" s="1"/>
  <c r="C57" i="3"/>
  <c r="G56" i="3"/>
  <c r="F56" i="3"/>
  <c r="E56" i="3"/>
  <c r="D56" i="3"/>
  <c r="C56" i="3"/>
  <c r="H56" i="3" s="1"/>
  <c r="G55" i="3"/>
  <c r="F55" i="3"/>
  <c r="E55" i="3"/>
  <c r="D55" i="3"/>
  <c r="C55" i="3"/>
  <c r="H55" i="3" s="1"/>
  <c r="I28" i="3"/>
  <c r="H28" i="3"/>
  <c r="I27" i="3"/>
  <c r="H27" i="3"/>
  <c r="C23" i="6" l="1"/>
  <c r="C24" i="6" s="1"/>
  <c r="C25" i="6" s="1"/>
  <c r="K10" i="8"/>
  <c r="J10" i="8"/>
  <c r="I10" i="8"/>
  <c r="I7" i="8"/>
  <c r="I13" i="8"/>
  <c r="J12" i="8"/>
  <c r="E62" i="8"/>
  <c r="E20" i="8" s="1"/>
  <c r="E24" i="8" s="1"/>
  <c r="G59" i="8"/>
  <c r="I40" i="4"/>
  <c r="I41" i="4" s="1"/>
  <c r="I43" i="4" s="1"/>
  <c r="I45" i="4" s="1"/>
  <c r="I47" i="4" s="1"/>
  <c r="H41" i="4"/>
  <c r="H43" i="4" s="1"/>
  <c r="H45" i="4" s="1"/>
  <c r="H47" i="4" s="1"/>
  <c r="F35" i="7"/>
  <c r="E36" i="7"/>
  <c r="E37" i="7" s="1"/>
  <c r="F62" i="8"/>
  <c r="F20" i="8" s="1"/>
  <c r="F24" i="8" s="1"/>
  <c r="J9" i="8"/>
  <c r="I9" i="8"/>
  <c r="K9" i="8"/>
  <c r="C62" i="8"/>
  <c r="J7" i="8"/>
  <c r="H22" i="8"/>
  <c r="G39" i="8"/>
  <c r="G42" i="8" s="1"/>
  <c r="F32" i="7"/>
  <c r="B14" i="7"/>
  <c r="I22" i="8"/>
  <c r="J22" i="8" s="1"/>
  <c r="H39" i="8"/>
  <c r="H42" i="8" s="1"/>
  <c r="K40" i="8"/>
  <c r="H38" i="4"/>
  <c r="D62" i="8"/>
  <c r="D20" i="8" s="1"/>
  <c r="D24" i="8" s="1"/>
  <c r="I38" i="4"/>
  <c r="H39" i="5"/>
  <c r="H41" i="5" s="1"/>
  <c r="K22" i="8" l="1"/>
  <c r="I21" i="8"/>
  <c r="I39" i="8"/>
  <c r="K12" i="8"/>
  <c r="K13" i="8" s="1"/>
  <c r="J13" i="8"/>
  <c r="K39" i="8"/>
  <c r="K21" i="8"/>
  <c r="C20" i="8"/>
  <c r="C24" i="8" s="1"/>
  <c r="G62" i="8"/>
  <c r="K5" i="6"/>
  <c r="J8" i="8"/>
  <c r="K8" i="8"/>
  <c r="I8" i="8"/>
  <c r="J39" i="8"/>
  <c r="J21" i="8"/>
  <c r="G32" i="7"/>
  <c r="F33" i="7"/>
  <c r="G35" i="7"/>
  <c r="F36" i="7"/>
  <c r="F37" i="7" s="1"/>
  <c r="J14" i="8" l="1"/>
  <c r="J15" i="8" s="1"/>
  <c r="J38" i="8" s="1"/>
  <c r="J42" i="8" s="1"/>
  <c r="K14" i="8"/>
  <c r="K15" i="8" s="1"/>
  <c r="K20" i="8"/>
  <c r="K24" i="8" s="1"/>
  <c r="K26" i="8" s="1"/>
  <c r="J20" i="8"/>
  <c r="J24" i="8" s="1"/>
  <c r="I20" i="8"/>
  <c r="I24" i="8" s="1"/>
  <c r="H20" i="8"/>
  <c r="H24" i="8" s="1"/>
  <c r="G20" i="8"/>
  <c r="G24" i="8" s="1"/>
  <c r="G36" i="7"/>
  <c r="G37" i="7" s="1"/>
  <c r="H35" i="7"/>
  <c r="K6" i="6"/>
  <c r="C18" i="6"/>
  <c r="D13" i="6"/>
  <c r="G33" i="7"/>
  <c r="H32" i="7"/>
  <c r="I14" i="8"/>
  <c r="I15" i="8" s="1"/>
  <c r="I38" i="8" s="1"/>
  <c r="I42" i="8" s="1"/>
  <c r="G46" i="8" s="1"/>
  <c r="G48" i="8" s="1"/>
  <c r="K25" i="8" l="1"/>
  <c r="K38" i="8"/>
  <c r="K42" i="8" s="1"/>
  <c r="K44" i="8" s="1"/>
  <c r="K43" i="8"/>
  <c r="H33" i="7"/>
  <c r="I32" i="7"/>
  <c r="I33" i="7" s="1"/>
  <c r="E39" i="7" s="1"/>
  <c r="G64" i="8"/>
  <c r="G28" i="8"/>
  <c r="G30" i="8" s="1"/>
  <c r="G32" i="8" s="1"/>
  <c r="I36" i="7"/>
  <c r="I37" i="7" s="1"/>
  <c r="H36" i="7"/>
  <c r="H37" i="7" s="1"/>
  <c r="E41" i="7" l="1"/>
  <c r="B41" i="7"/>
</calcChain>
</file>

<file path=xl/comments1.xml><?xml version="1.0" encoding="utf-8"?>
<comments xmlns="http://schemas.openxmlformats.org/spreadsheetml/2006/main">
  <authors>
    <author>Aw, Edward N. W.</author>
  </authors>
  <commentList>
    <comment ref="A1" authorId="0" shapeId="0">
      <text>
        <r>
          <rPr>
            <sz val="10"/>
            <rFont val="Arial"/>
            <family val="2"/>
          </rPr>
          <t>&lt;?xml version="1.0" encoding="utf-8"?&gt;&lt;Schema xmlns:xsi="http://www.w3.org/2001/XMLSchema-instance" xmlns:xsd="http://www.w3.org/2001/XMLSchema" Version="2" Timestamp="1632852665"&gt;&lt;FQL&gt;&lt;Q&gt;GE-US^LIF(SWP_GET_LANGUAGE_QUICK=="JP",PROPER(CONVERT_DATE(FF_FP_END_DATE(ANN,-9,0,Y,RP),"M/DD/YYYY")),PROPER(CONVERT_DATE(FF_FP_END_DATE(ANN,-9,0,Y,RP),"MMM 'YY")))&lt;/Q&gt;&lt;R&gt;10&lt;/R&gt;&lt;C&gt;1&lt;/C&gt;&lt;D xsi:type="xsd:string"&gt;Dec '11&lt;/D&gt;&lt;D xsi:type="xsd:string"&gt;Dec '12&lt;/D&gt;&lt;D xsi:type="xsd:string"&gt;Dec '13&lt;/D&gt;&lt;D xsi:type="xsd:string"&gt;Dec '14&lt;/D&gt;&lt;D xsi:type="xsd:string"&gt;Dec '15&lt;/D&gt;&lt;D xsi:type="xsd:string"&gt;Dec '16&lt;/D&gt;&lt;D xsi:type="xsd:string"&gt;Dec '17&lt;/D&gt;&lt;D xsi:type="xsd:string"&gt;Dec '18&lt;/D&gt;&lt;D xsi:type="xsd:string"&gt;Dec '19&lt;/D&gt;&lt;D xsi:type="xsd:string"&gt;Dec '20&lt;/D&gt;&lt;/FQL&gt;&lt;FQL&gt;&lt;Q&gt;GE-US^P(-9,0,Y) // FF_EPS(ANN_R,-9,0,Y,RP)&lt;/Q&gt;&lt;R&gt;10&lt;/R&gt;&lt;C&gt;1&lt;/C&gt;&lt;D xsi:type="xsd:double"&gt;14.5456022090473&lt;/D&gt;&lt;D xsi:type="xsd:double"&gt;15.5955122966045&lt;/D&gt;&lt;D xsi:type="xsd:double"&gt;19.4747446675467&lt;/D&gt;&lt;D xsi:type="xsd:double"&gt;16.8320788649837&lt;/D&gt;&lt;D xsi:type="xsd:double"&gt;214.23658872077&lt;/D&gt;&lt;D xsi:type="xsd:double"&gt;30.6617504366389&lt;/D&gt;&lt;D xsi:type="xsd:string"&gt;@NA&lt;/D&gt;&lt;D xsi:type="xsd:string"&gt;@NA&lt;/D&gt;&lt;D xsi:type="xsd:double"&gt;413.333333333333&lt;/D&gt;&lt;D xsi:type="xsd:double"&gt;18.5598900154666&lt;/D&gt;&lt;/FQL&gt;&lt;FQL&gt;&lt;Q&gt;GE-US^P(-9,0,Y) // FF_SALES_PS(ANN_R,-9,0,Y,RP)&lt;/Q&gt;&lt;R&gt;10&lt;/R&gt;&lt;C&gt;1&lt;/C&gt;&lt;D xsi:type="xsd:double"&gt;1.33363389683146&lt;/D&gt;&lt;D xsi:type="xsd:double"&gt;1.53024319549495&lt;/D&gt;&lt;D xsi:type="xsd:double"&gt;2.02092868604904&lt;/D&gt;&lt;D xsi:type="xsd:double"&gt;2.18615205148146&lt;/D&gt;&lt;D xsi:type="xsd:double"&gt;2.69159046205873&lt;/D&gt;&lt;D xsi:type="xsd:double"&gt;2.40686082306518&lt;/D&gt;&lt;D xsi:type="xsd:double"&gt;1.282005277268&lt;/D&gt;&lt;D xsi:type="xsd:double"&gt;0.668334721657863&lt;/D&gt;&lt;D xsi:type="xsd:double"&gt;1.02424743569512&lt;/D&gt;&lt;D xsi:type="xsd:double"&gt;1.18431902669821&lt;/D&gt;&lt;/FQL&gt;&lt;FQL&gt;&lt;Q&gt;GE-US^P(-9,0,Y) // FF_BPS(ANN_R,-9,0,Y,RP)&lt;/Q&gt;&lt;R&gt;10&lt;/R&gt;&lt;C&gt;1&lt;/C&gt;&lt;D xsi:type="xsd:double"&gt;1.62629679235432&lt;/D&gt;&lt;D xsi:type="xsd:double"&gt;1.7753486204467&lt;/D&gt;&lt;D xsi:type="xsd:double"&gt;2.15987714205796&lt;/D&gt;&lt;D xsi:type="xsd:double"&gt;1.98308375409448&lt;/D&gt;&lt;D xsi:type="xsd:double"&gt;2.97314245408809&lt;/D&gt;&lt;D xsi:type="xsd:double"&gt;3.64362152919106&lt;/D&gt;&lt;D xsi:type="xsd:double"&gt;2.70377055911496&lt;/D&gt;&lt;D xsi:type="xsd:double"&gt;2.12674501254414&lt;/D&gt;&lt;D xsi:type="xsd:double"&gt;3.44475277108136&lt;/D&gt;&lt;D xsi:type="xsd:double"&gt;2.6632340538861&lt;/D&gt;&lt;/FQL&gt;&lt;FQL&gt;&lt;Q&gt;GE-US^P(-9,0,Y) // FF_OPER_PS_NET_CF(ANN_R,-9,0,Y,RP)&lt;/Q&gt;&lt;R&gt;10&lt;/R&gt;&lt;C&gt;1&lt;/C&gt;&lt;D xsi:type="xsd:double"&gt;5.70173566353907&lt;/D&gt;&lt;D xsi:type="xsd:double"&gt;7.07728320194057&lt;/D&gt;&lt;D xsi:type="xsd:double"&gt;10.0913492424508&lt;/D&gt;&lt;D xsi:type="xsd:double"&gt;9.23195387780144&lt;/D&gt;&lt;D xsi:type="xsd:double"&gt;15.6854054597557&lt;/D&gt;&lt;D xsi:type="xsd:string"&gt;@NA&lt;/D&gt;&lt;D xsi:type="xsd:double"&gt;25.1306614721485&lt;/D&gt;&lt;D xsi:type="xsd:double"&gt;13.2163258336681&lt;/D&gt;&lt;D xsi:type="xsd:double"&gt;11.0989329685363&lt;/D&gt;&lt;D xsi:type="xsd:double"&gt;26.3049207673061&lt;/D&gt;&lt;/FQL&gt;&lt;FQL&gt;&lt;Q&gt;GE-US^CE_FF_ENTRPR_VAL(-9,0,Y,"0D") // FF_EBIT_OPER(ANN_R,-9,0,Y,RP)&lt;/Q&gt;&lt;R&gt;10&lt;/R&gt;&lt;C&gt;1&lt;/C&gt;&lt;D xsi:type="xsd:double"&gt;17.9251864536987&lt;/D&gt;&lt;D xsi:type="xsd:double"&gt;20.078156810774&lt;/D&gt;&lt;D xsi:type="xsd:double"&gt;24.5154823509613&lt;/D&gt;&lt;D xsi:type="xsd:double"&gt;40.5426847662142&lt;/D&gt;&lt;D xsi:type="xsd:double"&gt;34.9773404693289&lt;/D&gt;&lt;D xsi:type="xsd:double"&gt;26.4755455915058&lt;/D&gt;&lt;D xsi:type="xsd:double"&gt;487.79292051756&lt;/D&gt;&lt;D xsi:type="xsd:double"&gt;15.4398796906331&lt;/D&gt;&lt;D xsi:type="xsd:double"&gt;17.9838539878705&lt;/D&gt;&lt;D xsi:type="xsd:double"&gt;42.8465632146357&lt;/D&gt;&lt;/FQL&gt;&lt;FQL&gt;&lt;Q&gt;GE-US^CE_FF_ENTRPR_VAL(-9,0,Y,"0D") // FF_EBITDA_OPER(ANN_R,-9,0,Y,RP)&lt;/Q&gt;&lt;R&gt;10&lt;/R&gt;&lt;C&gt;1&lt;/C&gt;&lt;D xsi:type="xsd:double"&gt;13.2833803785758&lt;/D&gt;&lt;D xsi:type="xsd:double"&gt;14.4177484567901&lt;/D&gt;&lt;D xsi:type="xsd:double"&gt;16.5344900970433&lt;/D&gt;&lt;D xsi:type="xsd:double"&gt;27.3154819368935&lt;/D&gt;&lt;D xsi:type="xsd:double"&gt;22.7835773665862&lt;/D&gt;&lt;D xsi:type="xsd:double"&gt;17.7672057195128&lt;/D&gt;&lt;D xsi:type="xsd:double"&gt;33.1111631116688&lt;/D&gt;&lt;D xsi:type="xsd:double"&gt;9.48119964819701&lt;/D&gt;&lt;D xsi:type="xsd:double"&gt;10.9642039905121&lt;/D&gt;&lt;D xsi:type="xsd:double"&gt;14.4457902852737&lt;/D&gt;&lt;/FQL&gt;&lt;FQL&gt;&lt;Q&gt;GE-US^CE_FF_ENTRPR_VAL(-9,0,Y,"0D") // FF_SALES(ANN_R,-9,0,Y,RP)&lt;/Q&gt;&lt;R&gt;10&lt;/R&gt;&lt;C&gt;1&lt;/C&gt;&lt;D xsi:type="xsd:double"&gt;3.92649574747057&lt;/D&gt;&lt;D xsi:type="xsd:double"&gt;3.86850645944901&lt;/D&gt;&lt;D xsi:type="xsd:double"&gt;4.08325099679763&lt;/D&gt;&lt;D xsi:type="xsd:double"&gt;4.59432712604582&lt;/D&gt;&lt;D xsi:type="xsd:double"&gt;3.66472100486559&lt;/D&gt;&lt;D xsi:type="xsd:double"&gt;3.07871618183183&lt;/D&gt;&lt;D xsi:type="xsd:double"&gt;2.23181050886733&lt;/D&gt;&lt;D xsi:type="xsd:double"&gt;1.64264384396587&lt;/D&gt;&lt;D xsi:type="xsd:double"&gt;1.65336805007627&lt;/D&gt;&lt;D xsi:type="xsd:double"&gt;1.64161228142641&lt;/D&gt;&lt;/FQL&gt;&lt;FQL&gt;&lt;Q&gt;GE-US^FF_DEBT(ANN_R,-9,0,Y,RP) // CE_FF_ENTRPR_VAL(-9,0,Y,"0D")&lt;/Q&gt;&lt;R&gt;10&lt;/R&gt;&lt;C&gt;1&lt;/C&gt;&lt;D xsi:type="xsd:double"&gt;0.809718558412645&lt;/D&gt;&lt;D xsi:type="xsd:double"&gt;0.738651488472124&lt;/D&gt;&lt;D xsi:type="xsd:double"&gt;0.65734410944752&lt;/D&gt;&lt;D xsi:type="xsd:double"&gt;0.486283380084673&lt;/D&gt;&lt;D xsi:type="xsd:double"&gt;0.465165002431734&lt;/D&gt;&lt;D xsi:type="xsd:double"&gt;0.369092860626969&lt;/D&gt;&lt;D xsi:type="xsd:double"&gt;0.510015367040277&lt;/D&gt;&lt;D xsi:type="xsd:double"&gt;0.640685271029041&lt;/D&gt;&lt;D xsi:type="xsd:double"&gt;0.601224604847643&lt;/D&gt;&lt;D xsi:type="xsd:double"&gt;0.597926106794239&lt;/D&gt;&lt;/FQL&gt;&lt;FQL&gt;&lt;Q&gt;GE-US^FF_EPS_DIL_BEF_UNUSUAL(ANN_R,-9,0,Y,RP)&lt;/Q&gt;&lt;R&gt;10&lt;/R&gt;&lt;C&gt;1&lt;/C&gt;&lt;D xsi:type="xsd:double"&gt;1.45793785310734&lt;/D&gt;&lt;D xsi:type="xsd:double"&gt;1.46330935251799&lt;/D&gt;&lt;D xsi:type="xsd:double"&gt;1.65640003887647&lt;/D&gt;&lt;D xsi:type="xsd:double"&gt;1.53210510718167&lt;/D&gt;&lt;D xsi:type="xsd:double"&gt;0.296745207667732&lt;/D&gt;&lt;D xsi:type="xsd:double"&gt;1.3608543263965&lt;/D&gt;&lt;D xsi:type="xsd:double"&gt;-0.51651893634166&lt;/D&gt;&lt;D xsi:type="xsd:double"&gt;-0.48776895639167&lt;/D&gt;&lt;D xsi:type="xsd:double"&gt;0.24096744612563&lt;/D&gt;&lt;D xsi:type="xsd:double"&gt;0.869135943385458&lt;/D&gt;&lt;/FQL&gt;&lt;FQL&gt;&lt;Q&gt;GE-US^FF_EPS_BASIC(ANN_R,-9,0,Y,RP)&lt;/Q&gt;&lt;R&gt;10&lt;/R&gt;&lt;C&gt;1&lt;/C&gt;&lt;D xsi:type="xsd:double"&gt;1.2346&lt;/D&gt;&lt;D xsi:type="xsd:double"&gt;1.351&lt;/D&gt;&lt;D xsi:type="xsd:double"&gt;1.4499&lt;/D&gt;&lt;D xsi:type="xsd:double"&gt;1.5129&lt;/D&gt;&lt;D xsi:type="xsd:double"&gt;0.1464&lt;/D&gt;&lt;D xsi:type="xsd:double"&gt;1.0432&lt;/D&gt;&lt;D xsi:type="xsd:double"&gt;-1.0443&lt;/D&gt;&lt;D xsi:type="xsd:double"&gt;-2.6241&lt;/D&gt;&lt;D xsi:type="xsd:double"&gt;0.027&lt;/D&gt;&lt;D xsi:type="xsd:double"&gt;0.5824&lt;/D&gt;&lt;/FQL&gt;&lt;FQL&gt;&lt;Q&gt;GE-US^FF_EPS_DIL(ANN_R,-9,0,Y,RP)&lt;/Q&gt;&lt;R&gt;10&lt;/R&gt;&lt;C&gt;1&lt;/C&gt;&lt;D xsi:type="xsd:double"&gt;1.2313&lt;/D&gt;&lt;D xsi:type="xsd:double"&gt;1.3459&lt;/D&gt;&lt;D xsi:type="xsd:double"&gt;1.4393&lt;/D&gt;&lt;D xsi:type="xsd:double"&gt;1.5013&lt;/D&gt;&lt;D xsi:type="xsd:double"&gt;0.1454&lt;/D&gt;&lt;D xsi:type="xsd:double"&gt;1.0306&lt;/D&gt;&lt;D xsi:type="xsd:double"&gt;-1.0443&lt;/D&gt;&lt;D xsi:type="xsd:double"&gt;-2.6241&lt;/D&gt;&lt;D xsi:type="xsd:double"&gt;0.027&lt;/D&gt;&lt;D xsi:type="xsd:double"&gt;0.5819&lt;/D&gt;&lt;/FQL&gt;&lt;FQL&gt;&lt;Q&gt;GE-US^FF_DPS(ANN_R,-9,0,Y,RP)&lt;/Q&gt;&lt;R&gt;10&lt;/R&gt;&lt;C&gt;1&lt;/C&gt;&lt;D xsi:type="xsd:double"&gt;0.61&lt;/D&gt;&lt;D xsi:type="xsd:double"&gt;0.7&lt;/D&gt;&lt;D xsi:type="xsd:double"&gt;0.79&lt;/D&gt;&lt;D xsi:type="xsd:double"&gt;0.89&lt;/D&gt;&lt;D xsi:type="xsd:double"&gt;0.92&lt;/D&gt;&lt;D xsi:type="xsd:double"&gt;0.93&lt;/D&gt;&lt;D xsi:type="xsd:double"&gt;0.84&lt;/D&gt;&lt;D xsi:type="xsd:double"&gt;0.37&lt;/D&gt;&lt;D xsi:type="xsd:double"&gt;0.04&lt;/D&gt;&lt;D xsi:type="xsd:double"&gt;0.04&lt;/D&gt;&lt;/FQL&gt;&lt;FQL&gt;&lt;Q&gt;GE-US^100*(FF_DPS(ANN_R,-9,0,Y,RP)//P(-9,0,Y,RP))&lt;/Q&gt;&lt;R&gt;10&lt;/R&gt;&lt;C&gt;1&lt;/C&gt;&lt;D xsi:type="xsd:double"&gt;3.40591848129537&lt;/D&gt;&lt;D xsi:type="xsd:double"&gt;3.33492139113864&lt;/D&gt;&lt;D xsi:type="xsd:double"&gt;2.81840884766322&lt;/D&gt;&lt;D xsi:type="xsd:double"&gt;3.5219628017412&lt;/D&gt;&lt;D xsi:type="xsd:double"&gt;2.95345104333868&lt;/D&gt;&lt;D xsi:type="xsd:double"&gt;2.94303797468354&lt;/D&gt;&lt;D xsi:type="xsd:double"&gt;4.81375358166189&lt;/D&gt;&lt;D xsi:type="xsd:double"&gt;4.88771466314399&lt;/D&gt;&lt;D xsi:type="xsd:double"&gt;0.3584229390681&lt;/D&gt;&lt;D xsi:type="xsd:double"&gt;0.37037037037037&lt;/D&gt;&lt;/FQL&gt;&lt;FQL&gt;&lt;Q&gt;GE-US^FF_PAY_OUT_RATIO(ANN_R,-9,0,Y,RP)&lt;/Q&gt;&lt;R&gt;10&lt;/R&gt;&lt;C&gt;1&lt;/C&gt;&lt;D xsi:type="xsd:double"&gt;49.5411353853651&lt;/D&gt;&lt;D xsi:type="xsd:double"&gt;52.009807563712&lt;/D&gt;&lt;D xsi:type="xsd:double"&gt;54.8877926769958&lt;/D&gt;&lt;D xsi:type="xsd:double"&gt;59.2819556384467&lt;/D&gt;&lt;D xsi:type="xsd:double"&gt;632.73727647868&lt;/D&gt;&lt;D xsi:type="xsd:double"&gt;90.2386959052979&lt;/D&gt;&lt;D xsi:type="xsd:string"&gt;@NA&lt;/D&gt;&lt;D xsi:type="xsd:string"&gt;@NA&lt;/D&gt;&lt;D xsi:type="xsd:double"&gt;148.148148148148&lt;/D&gt;&lt;D xsi:type="xsd:double"&gt;6.87403333906169&lt;/D&gt;&lt;/FQL&gt;&lt;FQL&gt;&lt;Q&gt;GE-US^FF_GROSS_MGN(ANN_R,-9,0,Y,RP)&lt;/Q&gt;&lt;R&gt;10&lt;/R&gt;&lt;C&gt;1&lt;/C&gt;&lt;D xsi:type="xsd:double"&gt;55.3522973475154&lt;/D&gt;&lt;D xsi:type="xsd:double"&gt;51.8370783415227&lt;/D&gt;&lt;D xsi:type="xsd:double"&gt;49.2729859081895&lt;/D&gt;&lt;D xsi:type="xsd:double"&gt;32.4639142659363&lt;/D&gt;&lt;D xsi:type="xsd:double"&gt;33.1050070740881&lt;/D&gt;&lt;D xsi:type="xsd:double"&gt;33.0736053525098&lt;/D&gt;&lt;D xsi:type="xsd:double"&gt;29.1755114467664&lt;/D&gt;&lt;D xsi:type="xsd:double"&gt;30.0751726940268&lt;/D&gt;&lt;D xsi:type="xsd:double"&gt;29.9521329756457&lt;/D&gt;&lt;D xsi:type="xsd:double"&gt;25.0359856307812&lt;/D&gt;&lt;/FQL&gt;&lt;FQL&gt;&lt;Q&gt;GE-US^FF_SGA_SALES(ANN_R,-9,0,Y,RP)&lt;/Q&gt;&lt;R&gt;10&lt;/R&gt;&lt;C&gt;1&lt;/C&gt;&lt;D xsi:type="xsd:double"&gt;31.4056134790809&lt;/D&gt;&lt;D xsi:type="xsd:double"&gt;30.5981891459173&lt;/D&gt;&lt;D xsi:type="xsd:double"&gt;30.7420098523548&lt;/D&gt;&lt;D xsi:type="xsd:double"&gt;18.0159469460658&lt;/D&gt;&lt;D xsi:type="xsd:double"&gt;18.1855826633079&lt;/D&gt;&lt;D xsi:type="xsd:double"&gt;18.319165088555&lt;/D&gt;&lt;D xsi:type="xsd:double"&gt;17.5122417394687&lt;/D&gt;&lt;D xsi:type="xsd:double"&gt;16.1814303128809&lt;/D&gt;&lt;D xsi:type="xsd:double"&gt;16.8113197622429&lt;/D&gt;&lt;D xsi:type="xsd:double"&gt;17.7237054560475&lt;/D&gt;&lt;/FQL&gt;&lt;FQL&gt;&lt;Q&gt;GE-US^FF_OPER_MGN(ANN_R,-9,0,Y,RP)&lt;/Q&gt;&lt;R&gt;10&lt;/R&gt;&lt;C&gt;1&lt;/C&gt;&lt;D xsi:type="xsd:double"&gt;21.90490881427&lt;/D&gt;&lt;D xsi:type="xsd:double"&gt;19.2672389996135&lt;/D&gt;&lt;D xsi:type="xsd:double"&gt;16.6558052513191&lt;/D&gt;&lt;D xsi:type="xsd:double"&gt;11.3320742139762&lt;/D&gt;&lt;D xsi:type="xsd:double"&gt;10.4774146795956&lt;/D&gt;&lt;D xsi:type="xsd:double"&gt;11.6285278095254&lt;/D&gt;&lt;D xsi:type="xsd:double"&gt;0.457532369780875&lt;/D&gt;&lt;D xsi:type="xsd:double"&gt;10.638967899228&lt;/D&gt;&lt;D xsi:type="xsd:double"&gt;9.19362474356951&lt;/D&gt;&lt;D xsi:type="xsd:double"&gt;3.83137446334472&lt;/D&gt;&lt;/FQL&gt;&lt;FQL&gt;&lt;Q&gt;GE-US^FF_PTX_MGN(ANN_R,-9,0,Y,RP)&lt;/Q&gt;&lt;R&gt;10&lt;/R&gt;&lt;C&gt;1&lt;/C&gt;&lt;D xsi:type="xsd:double"&gt;14.0918939006177&lt;/D&gt;&lt;D xsi:type="xsd:double"&gt;12.01209076354&lt;/D&gt;&lt;D xsi:type="xsd:double"&gt;11.3175947921265&lt;/D&gt;&lt;D xsi:type="xsd:double"&gt;8.77082033620196&lt;/D&gt;&lt;D xsi:type="xsd:double"&gt;7.06201042133959&lt;/D&gt;&lt;D xsi:type="xsd:double"&gt;7.53322376928146&lt;/D&gt;&lt;D xsi:type="xsd:double"&gt;-9.43057940004905&lt;/D&gt;&lt;D xsi:type="xsd:double"&gt;-21.3195855343356&lt;/D&gt;&lt;D xsi:type="xsd:double"&gt;1.20877386776077&lt;/D&gt;&lt;D xsi:type="xsd:double"&gt;6.50495037112137&lt;/D&gt;&lt;/FQL&gt;&lt;FQL&gt;&lt;Q&gt;GE-US^FF_NET_MGN(ANN_R,-9,0,Y,RP)&lt;/Q&gt;&lt;R&gt;10&lt;/R&gt;&lt;C&gt;1&lt;/C&gt;&lt;D xsi:type="xsd:double"&gt;9.85198533175339&lt;/D&gt;&lt;D xsi:type="xsd:double"&gt;10.1156627836361&lt;/D&gt;&lt;D xsi:type="xsd:double"&gt;10.6203620004625&lt;/D&gt;&lt;D xsi:type="xsd:double"&gt;8.13670275952245&lt;/D&gt;&lt;D xsi:type="xsd:double"&gt;1.4475999861969&lt;/D&gt;&lt;D xsi:type="xsd:double"&gt;8.1497301220499&lt;/D&gt;&lt;D xsi:type="xsd:double"&gt;-6.91795708836887&lt;/D&gt;&lt;D xsi:type="xsd:double"&gt;-21.3226330759854&lt;/D&gt;&lt;D xsi:type="xsd:double"&gt;0.437641365525222&lt;/D&gt;&lt;D xsi:type="xsd:double"&gt;7.09073385653311&lt;/D&gt;&lt;/FQL&gt;&lt;FQL&gt;&lt;Q&gt;GE-US^FF_ROA(ANN_R,-9,0,Y,RP)&lt;/Q&gt;&lt;R&gt;10&lt;/R&gt;&lt;C&gt;1&lt;/C&gt;&lt;D xsi:type="xsd:double"&gt;1.84045624348355&lt;/D&gt;&lt;D xsi:type="xsd:double"&gt;2.00083538767721&lt;/D&gt;&lt;D xsi:type="xsd:double"&gt;2.16197556294315&lt;/D&gt;&lt;D xsi:type="xsd:double"&gt;1.39854798373918&lt;/D&gt;&lt;D xsi:type="xsd:double"&gt;0.281564883254608&lt;/D&gt;&lt;D xsi:type="xsd:double"&gt;2.1596180820761&lt;/D&gt;&lt;D xsi:type="xsd:double"&gt;-2.11872089348895&lt;/D&gt;&lt;D xsi:type="xsd:double"&gt;-5.97781742737407&lt;/D&gt;&lt;D xsi:type="xsd:double"&gt;0.141901064940204&lt;/D&gt;&lt;D xsi:type="xsd:double"&gt;2.17163798622265&lt;/D&gt;&lt;/FQL&gt;&lt;FQL&gt;&lt;Q&gt;GE-US^FF_ROE(ANN_R,-9,0,Y,RP)&lt;/Q&gt;&lt;R&gt;10&lt;/R&gt;&lt;C&gt;1&lt;/C&gt;&lt;D xsi:type="xsd:double"&gt;11.9392966088013&lt;/D&gt;&lt;D xsi:type="xsd:double"&gt;12.2423412287442&lt;/D&gt;&lt;D xsi:type="xsd:double"&gt;11.9530584561027&lt;/D&gt;&lt;D xsi:type="xsd:double"&gt;7.35993815827616&lt;/D&gt;&lt;D xsi:type="xsd:double"&gt;1.48211612264997&lt;/D&gt;&lt;D xsi:type="xsd:double"&gt;11.2221571262823&lt;/D&gt;&lt;D xsi:type="xsd:double"&gt;-12.4072866265225&lt;/D&gt;&lt;D xsi:type="xsd:double"&gt;-48.2467733964671&lt;/D&gt;&lt;D xsi:type="xsd:double"&gt;1.40310639661366&lt;/D&gt;&lt;D xsi:type="xsd:double"&gt;17.7397131583892&lt;/D&gt;&lt;/FQL&gt;&lt;FQL&gt;&lt;Q&gt;GE-US^FF_ROTC(ANN_R,-9,0,Y,RP)&lt;/Q&gt;&lt;R&gt;10&lt;/R&gt;&lt;C&gt;1&lt;/C&gt;&lt;D xsi:type="xsd:double"&gt;5.32026583447929&lt;/D&gt;&lt;D xsi:type="xsd:double"&gt;5.01190639678236&lt;/D&gt;&lt;D xsi:type="xsd:double"&gt;4.47478380538296&lt;/D&gt;&lt;D xsi:type="xsd:double"&gt;2.88832884255558&lt;/D&gt;&lt;D xsi:type="xsd:double"&gt;3.47463118699638&lt;/D&gt;&lt;D xsi:type="xsd:double"&gt;5.38768821059101&lt;/D&gt;&lt;D xsi:type="xsd:double"&gt;0.252681530194509&lt;/D&gt;&lt;D xsi:type="xsd:double"&gt;5.70830574019115&lt;/D&gt;&lt;D xsi:type="xsd:double"&gt;6.23661899460478&lt;/D&gt;&lt;D xsi:type="xsd:double"&gt;2.54267558250613&lt;/D&gt;&lt;/FQL&gt;&lt;FQL&gt;&lt;Q&gt;GE-US^FF_ROIC(ANN_R,-9,0,Y,RP)&lt;/Q&gt;&lt;R&gt;10&lt;/R&gt;&lt;C&gt;1&lt;/C&gt;&lt;D xsi:type="xsd:double"&gt;3.15513869272034&lt;/D&gt;&lt;D xsi:type="xsd:double"&gt;3.45644369248545&lt;/D&gt;&lt;D xsi:type="xsd:double"&gt;3.55245948517933&lt;/D&gt;&lt;D xsi:type="xsd:double"&gt;2.55313899872222&lt;/D&gt;&lt;D xsi:type="xsd:double"&gt;0.593799431679447&lt;/D&gt;&lt;D xsi:type="xsd:double"&gt;4.57199285816245&lt;/D&gt;&lt;D xsi:type="xsd:double"&gt;-4.70236555431002&lt;/D&gt;&lt;D xsi:type="xsd:double"&gt;-14.5566767224938&lt;/D&gt;&lt;D xsi:type="xsd:double"&gt;0.376523403735366&lt;/D&gt;&lt;D xsi:type="xsd:double"&gt;5.43775616966951&lt;/D&gt;&lt;/FQL&gt;&lt;FQL&gt;&lt;Q&gt;GE-US^FF_CF_ROIC(ANN_R,-9,0,Y,RP)&lt;/Q&gt;&lt;R&gt;10&lt;/R&gt;&lt;C&gt;1&lt;/C&gt;&lt;D xsi:type="xsd:double"&gt;7.49073173798719&lt;/D&gt;&lt;D xsi:type="xsd:double"&gt;7.3880363848589&lt;/D&gt;&lt;D xsi:type="xsd:double"&gt;6.6987159954434&lt;/D&gt;&lt;D xsi:type="xsd:double"&gt;7.43040946492953&lt;/D&gt;&lt;D xsi:type="xsd:double"&gt;7.03889421664832&lt;/D&gt;&lt;D xsi:type="xsd:double"&gt;-0.114194519131092&lt;/D&gt;&lt;D xsi:type="xsd:double"&gt;3.46756345031761&lt;/D&gt;&lt;D xsi:type="xsd:double"&gt;3.45226949616838&lt;/D&gt;&lt;D xsi:type="xsd:double"&gt;7.93957523453516&lt;/D&gt;&lt;D xsi:type="xsd:double"&gt;3.45271119899404&lt;/D&gt;&lt;/FQL&gt;&lt;FQL&gt;&lt;Q&gt;GE-US^((FF_NET_MGN(ANN_R,-9,0,Y,RP))*(FF_ASSET_TURN(ANN_R,-9,0,Y,RP))*(FF_AVG_ASSETS(ANN_R,-9,0,Y,RP)/FF_AVG_SHLDRS_EQ(ANN_R,-9,0,Y,RP)))&lt;/Q&gt;&lt;R&gt;10&lt;/R&gt;&lt;C&gt;1&lt;/C&gt;&lt;D xsi:type="xsd:double"&gt;11.9392966088013&lt;/D&gt;&lt;D xsi:type="xsd:double"&gt;12.2423412287442&lt;/D&gt;&lt;D xsi:type="xsd:double"&gt;11.9530584561027&lt;/D&gt;&lt;D xsi:type="xsd:double"&gt;7.35993815827616&lt;/D&gt;&lt;D xsi:type="xsd:double"&gt;1.48211612264997&lt;/D&gt;&lt;D xsi:type="xsd:double"&gt;11.2221571262823&lt;/D&gt;&lt;D xsi:type="xsd:double"&gt;-12.4072866265225&lt;/D&gt;&lt;D xsi:type="xsd:double"&gt;-48.2467733964671&lt;/D&gt;&lt;D xsi:type="xsd:double"&gt;1.40310639661366&lt;/D&gt;&lt;D xsi:type="xsd:double"&gt;17.7397131583892&lt;/D&gt;&lt;/FQL&gt;&lt;FQL&gt;&lt;Q&gt;GE-US^FF_ASSET_TURN(ANN_R,-9,0,Y,RP)&lt;/Q&gt;&lt;R&gt;10&lt;/R&gt;&lt;C&gt;1&lt;/C&gt;&lt;D xsi:type="xsd:double"&gt;0.186810696677722&lt;/D&gt;&lt;D xsi:type="xsd:double"&gt;0.197795777743197&lt;/D&gt;&lt;D xsi:type="xsd:double"&gt;0.20356891439755&lt;/D&gt;&lt;D xsi:type="xsd:double"&gt;0.171881414999761&lt;/D&gt;&lt;D xsi:type="xsd:double"&gt;0.194504618637313&lt;/D&gt;&lt;D xsi:type="xsd:double"&gt;0.264992588678862&lt;/D&gt;&lt;D xsi:type="xsd:double"&gt;0.306263954289503&lt;/D&gt;&lt;D xsi:type="xsd:double"&gt;0.280350808742594&lt;/D&gt;&lt;D xsi:type="xsd:double"&gt;0.324240522305074&lt;/D&gt;&lt;D xsi:type="xsd:double"&gt;0.306264207649226&lt;/D&gt;&lt;/FQL&gt;&lt;FQL&gt;&lt;Q&gt;GE-US^FF_AVG_ASSETS(ANN_R,-9,0,Y,RP)/FF_AVG_SHLDRS_EQ(ANN_R,-9,0,Y,RP)&lt;/Q&gt;&lt;R&gt;10&lt;/R&gt;&lt;C&gt;1&lt;/C&gt;&lt;D xsi:type="xsd:double"&gt;6.48713961610033&lt;/D&gt;&lt;D xsi:type="xsd:double"&gt;6.1186149066248&lt;/D&gt;&lt;D xsi:type="xsd:double"&gt;5.52876668033692&lt;/D&gt;&lt;D xsi:type="xsd:double"&gt;5.26255676876993&lt;/D&gt;&lt;D xsi:type="xsd:double"&gt;5.26385288363445&lt;/D&gt;&lt;D xsi:type="xsd:double"&gt;5.19636190279262&lt;/D&gt;&lt;D xsi:type="xsd:double"&gt;5.85602693806974&lt;/D&gt;&lt;D xsi:type="xsd:double"&gt;8.07096803852387&lt;/D&gt;&lt;D xsi:type="xsd:double"&gt;9.88792013086665&lt;/D&gt;&lt;D xsi:type="xsd:double"&gt;8.16881693492829&lt;/D&gt;&lt;/FQL&gt;&lt;FQL&gt;&lt;Q&gt;GE-US^(FF_PTX_INC(ANN_R,-9,0,Y,RP)/FF_OPER_INC(ANN_R,-9,0,Y,RP))&lt;/Q&gt;&lt;R&gt;10&lt;/R&gt;&lt;C&gt;1&lt;/C&gt;&lt;D xsi:type="xsd:double"&gt;0.64332127652764&lt;/D&gt;&lt;D xsi:type="xsd:double"&gt;0.623446398509975&lt;/D&gt;&lt;D xsi:type="xsd:double"&gt;0.679498506457991&lt;/D&gt;&lt;D xsi:type="xsd:double"&gt;0.773981900452489&lt;/D&gt;&lt;D xsi:type="xsd:double"&gt;0.674022231370935&lt;/D&gt;&lt;D xsi:type="xsd:double"&gt;0.647822655857666&lt;/D&gt;&lt;D xsi:type="xsd:double"&gt;-20.6118299445471&lt;/D&gt;&lt;D xsi:type="xsd:double"&gt;-2.00391482860689&lt;/D&gt;&lt;D xsi:type="xsd:double"&gt;0.131479574322005&lt;/D&gt;&lt;D xsi:type="xsd:double"&gt;1.69781117281934&lt;/D&gt;&lt;/FQL&gt;&lt;FQL&gt;&lt;Q&gt;GE-US^FF_NET_INC(ANN_R,-9,0,Y,RP)/FF_PTX_INC(ANN_R,-9,0,Y,RP)&lt;/Q&gt;&lt;R&gt;10&lt;/R&gt;&lt;C&gt;1&lt;/C&gt;&lt;D xsi:type="xsd:double"&gt;0.699124290974226&lt;/D&gt;&lt;D xsi:type="xsd:double"&gt;0.842123405722165&lt;/D&gt;&lt;D xsi:type="xsd:double"&gt;0.938393907497988&lt;/D&gt;&lt;D xsi:type="xsd:double"&gt;0.927701451817207&lt;/D&gt;&lt;D xsi:type="xsd:double"&gt;0.20498411922795&lt;/D&gt;&lt;D xsi:type="xsd:double"&gt;1.08183831672204&lt;/D&gt;&lt;D xsi:type="xsd:double"&gt;0.733566496278361&lt;/D&gt;&lt;D xsi:type="xsd:double"&gt;1.00014294563301&lt;/D&gt;&lt;D xsi:type="xsd:double"&gt;0.362053959965187&lt;/D&gt;&lt;D xsi:type="xsd:double"&gt;1.09005195304984&lt;/D&gt;&lt;/FQL&gt;&lt;FQL&gt;&lt;Q&gt;GE-US^FF_SALES_PER_EMP(ANN_R,-9,0,Y,RP)&lt;/Q&gt;&lt;R&gt;10&lt;/R&gt;&lt;C&gt;1&lt;/C&gt;&lt;D xsi:type="xsd:double"&gt;0.473823920265781&lt;/D&gt;&lt;D xsi:type="xsd:double"&gt;0.475095081967213&lt;/D&gt;&lt;D xsi:type="xsd:double"&gt;0.464843648208469&lt;/D&gt;&lt;D xsi:type="xsd:string"&gt;@NA&lt;/D&gt;&lt;D xsi:type="xsd:string"&gt;@NA&lt;/D&gt;&lt;D xsi:type="xsd:double"&gt;0.406335593220339&lt;/D&gt;&lt;D xsi:type="xsd:double"&gt;0.377773162939297&lt;/D&gt;&lt;D xsi:type="xsd:double"&gt;0.347844522968198&lt;/D&gt;&lt;D xsi:type="xsd:double"&gt;0.463682926829268&lt;/D&gt;&lt;D xsi:type="xsd:double"&gt;0.459155172413793&lt;/D&gt;&lt;/FQL&gt;&lt;FQL&gt;&lt;Q&gt;GE-US^FF_NET_INC(ANN_R,-9,0,Y,RP)/FF_EMP_NUM(ANN_R,-9,0,Y,RP)&lt;/Q&gt;&lt;R&gt;10&lt;/R&gt;&lt;C&gt;1&lt;/C&gt;&lt;D xsi:type="xsd:double"&gt;0.0466810631229236&lt;/D&gt;&lt;D xsi:type="xsd:double"&gt;0.0480590163934426&lt;/D&gt;&lt;D xsi:type="xsd:double"&gt;0.0493680781758958&lt;/D&gt;&lt;D xsi:type="xsd:string"&gt;@NA&lt;/D&gt;&lt;D xsi:type="xsd:string"&gt;@NA&lt;/D&gt;&lt;D xsi:type="xsd:double"&gt;0.0331152542372881&lt;/D&gt;&lt;D xsi:type="xsd:double"&gt;-0.0261341853035144&lt;/D&gt;&lt;D xsi:type="xsd:double"&gt;-0.0741696113074205&lt;/D&gt;&lt;D xsi:type="xsd:double"&gt;0.00202926829268293&lt;/D&gt;&lt;D xsi:type="xsd:double"&gt;0.0325574712643678&lt;/D&gt;&lt;/FQL&gt;&lt;FQL&gt;&lt;Q&gt;GE-US^FF_RECEIV_TURN(ANN_R,-9,0,Y,RP)&lt;/Q&gt;&lt;R&gt;10&lt;/R&gt;&lt;C&gt;1&lt;/C&gt;&lt;D xsi:type="xsd:double"&gt;0.442169162157009&lt;/D&gt;&lt;D xsi:type="xsd:double"&gt;0.487105834183532&lt;/D&gt;&lt;D xsi:type="xsd:double"&gt;0.509730663242435&lt;/D&gt;&lt;D xsi:type="xsd:double"&gt;0.742032753618593&lt;/D&gt;&lt;D xsi:type="xsd:double"&gt;2.61075012105992&lt;/D&gt;&lt;D xsi:type="xsd:double"&gt;2.72064731382918&lt;/D&gt;&lt;D xsi:type="xsd:double"&gt;2.84552630312365&lt;/D&gt;&lt;D xsi:type="xsd:double"&gt;2.79925497277238&lt;/D&gt;&lt;D xsi:type="xsd:double"&gt;3.32610178980702&lt;/D&gt;&lt;D xsi:type="xsd:double"&gt;2.92001242667349&lt;/D&gt;&lt;/FQL&gt;&lt;FQL&gt;&lt;Q&gt;GE-US^FF_RECEIV_TURN_DAYS(ANN_R,-9,0,Y,RP)&lt;/Q&gt;&lt;R&gt;10&lt;/R&gt;&lt;C&gt;1&lt;/C&gt;&lt;D xsi:type="xsd:double"&gt;825.475929210986&lt;/D&gt;&lt;D xsi:type="xsd:double"&gt;749.323810936896&lt;/D&gt;&lt;D xsi:type="xsd:double"&gt;716.06443622247&lt;/D&gt;&lt;D xsi:type="xsd:double"&gt;491.892033363814&lt;/D&gt;&lt;D xsi:type="xsd:double"&gt;139.806562510784&lt;/D&gt;&lt;D xsi:type="xsd:double"&gt;134.159248846658&lt;/D&gt;&lt;D xsi:type="xsd:double"&gt;128.271525587138&lt;/D&gt;&lt;D xsi:type="xsd:double"&gt;130.391837667615&lt;/D&gt;&lt;D xsi:type="xsd:double"&gt;109.738072694756&lt;/D&gt;&lt;D xsi:type="xsd:double"&gt;124.999468038501&lt;/D&gt;&lt;/FQL&gt;&lt;FQL&gt;&lt;Q&gt;GE-US^FF_INVEN_TURN(ANN_R,-9,0,Y,RP)&lt;/Q&gt;&lt;R&gt;10&lt;/R&gt;&lt;C&gt;1&lt;/C&gt;&lt;D xsi:type="xsd:double"&gt;5.03017615925429&lt;/D&gt;&lt;D xsi:type="xsd:double"&gt;4.78570938764315&lt;/D&gt;&lt;D xsi:type="xsd:double"&gt;4.42771950212545&lt;/D&gt;&lt;D xsi:type="xsd:double"&gt;4.51396584223453&lt;/D&gt;&lt;D xsi:type="xsd:double"&gt;3.85742712167943&lt;/D&gt;&lt;D xsi:type="xsd:double"&gt;3.5759210145089&lt;/D&gt;&lt;D xsi:type="xsd:double"&gt;4.00952768534699&lt;/D&gt;&lt;D xsi:type="xsd:double"&gt;4.14388056107399&lt;/D&gt;&lt;D xsi:type="xsd:double"&gt;4.29324908117867&lt;/D&gt;&lt;D xsi:type="xsd:double"&gt;3.61824497809998&lt;/D&gt;&lt;/FQL&gt;&lt;FQL&gt;&lt;Q&gt;GE-US^FF_INVEN_DAYS(ANN_R,-9,0,Y,RP)&lt;/Q&gt;&lt;R&gt;10&lt;/R&gt;&lt;C&gt;1&lt;/C&gt;&lt;D xsi:type="xsd:double"&gt;72.5620710774691&lt;/D&gt;&lt;D xsi:type="xsd:double"&gt;76.2687347757558&lt;/D&gt;&lt;D xsi:type="xsd:double"&gt;82.4352129408352&lt;/D&gt;&lt;D xsi:type="xsd:double"&gt;80.8601599473591&lt;/D&gt;&lt;D xsi:type="xsd:double"&gt;94.6226561089474&lt;/D&gt;&lt;D xsi:type="xsd:double"&gt;102.071605753889&lt;/D&gt;&lt;D xsi:type="xsd:double"&gt;91.0331661591737&lt;/D&gt;&lt;D xsi:type="xsd:double"&gt;88.0816892814597&lt;/D&gt;&lt;D xsi:type="xsd:double"&gt;85.0171963234411&lt;/D&gt;&lt;D xsi:type="xsd:double"&gt;100.877636038804&lt;/D&gt;&lt;/FQL&gt;&lt;FQL&gt;&lt;Q&gt;GE-US^FF_PAY_TURN(ANN_R,-9,0,Y,RP)&lt;/Q&gt;&lt;R&gt;10&lt;/R&gt;&lt;C&gt;1&lt;/C&gt;&lt;D xsi:type="xsd:double"&gt;4.2466&lt;/D&gt;&lt;D xsi:type="xsd:double"&gt;4.4503&lt;/D&gt;&lt;D xsi:type="xsd:double"&gt;4.6253&lt;/D&gt;&lt;D xsi:type="xsd:double"&gt;5.5638&lt;/D&gt;&lt;D xsi:type="xsd:double"&gt;6.3983&lt;/D&gt;&lt;D xsi:type="xsd:double"&gt;5.6954&lt;/D&gt;&lt;D xsi:type="xsd:double"&gt;5.4588&lt;/D&gt;&lt;D xsi:type="xsd:double"&gt;4.3602&lt;/D&gt;&lt;D xsi:type="xsd:double"&gt;4.4894&lt;/D&gt;&lt;D xsi:type="xsd:double"&gt;3.4621&lt;/D&gt;&lt;/FQL&gt;&lt;FQL&gt;&lt;Q&gt;GE-US^FF_PAY_TURN_DAYS(ANN_R,-9,0,Y,RP)&lt;/Q&gt;&lt;R&gt;10&lt;/R&gt;&lt;C&gt;1&lt;/C&gt;&lt;D xsi:type="xsd:double"&gt;85.9511138322423&lt;/D&gt;&lt;D xsi:type="xsd:double"&gt;82.0169426780217&lt;/D&gt;&lt;D xsi:type="xsd:double"&gt;78.9138001859339&lt;/D&gt;&lt;D xsi:type="xsd:double"&gt;65.60264567382&lt;/D&gt;&lt;D xsi:type="xsd:double"&gt;57.0464029507838&lt;/D&gt;&lt;D xsi:type="xsd:double"&gt;64.0868068967939&lt;/D&gt;&lt;D xsi:type="xsd:double"&gt;66.864512347036&lt;/D&gt;&lt;D xsi:type="xsd:double"&gt;83.7117563414522&lt;/D&gt;&lt;D xsi:type="xsd:double"&gt;81.3026239586582&lt;/D&gt;&lt;D xsi:type="xsd:double"&gt;105.427341786777&lt;/D&gt;&lt;/FQL&gt;&lt;FQL&gt;&lt;Q&gt;GE-US^FF_CASH_CONV_CYCLE(ANN_R,-9,0,Y,RP)&lt;/Q&gt;&lt;R&gt;10&lt;/R&gt;&lt;C&gt;1&lt;/C&gt;&lt;D xsi:type="xsd:double"&gt;812.086886456212&lt;/D&gt;&lt;D xsi:type="xsd:double"&gt;743.57560303463&lt;/D&gt;&lt;D xsi:type="xsd:double"&gt;719.585848977371&lt;/D&gt;&lt;D xsi:type="xsd:double"&gt;507.149547637353&lt;/D&gt;&lt;D xsi:type="xsd:double"&gt;177.382815668947&lt;/D&gt;&lt;D xsi:type="xsd:double"&gt;172.144047703753&lt;/D&gt;&lt;D xsi:type="xsd:double"&gt;152.440179399276&lt;/D&gt;&lt;D xsi:type="xsd:double"&gt;134.761770607622&lt;/D&gt;&lt;D xsi:type="xsd:double"&gt;113.452645059539&lt;/D&gt;&lt;D xsi:type="xsd:double"&gt;120.449762290529&lt;/D&gt;&lt;/FQL&gt;&lt;FQL&gt;&lt;Q&gt;GE-US^FF_SALES(ANN_R,-9,0,Y,RP)/FF_ASSETS(ANN_R,-9,0,Y,RP)&lt;/Q&gt;&lt;R&gt;10&lt;/R&gt;&lt;C&gt;1&lt;/C&gt;&lt;D xsi:type="xsd:double"&gt;0.190687631195433&lt;/D&gt;&lt;D xsi:type="xsd:double"&gt;0.202024933845283&lt;/D&gt;&lt;D xsi:type="xsd:double"&gt;0.208394361507784&lt;/D&gt;&lt;D xsi:type="xsd:double"&gt;0.172901256276209&lt;/D&gt;&lt;D xsi:type="xsd:double"&gt;0.225014947160816&lt;/D&gt;&lt;D xsi:type="xsd:double"&gt;0.307712251860485&lt;/D&gt;&lt;D xsi:type="xsd:double"&gt;0.309039112423716&lt;/D&gt;&lt;D xsi:type="xsd:double"&gt;0.30796376013615&lt;/D&gt;&lt;D xsi:type="xsd:double"&gt;0.356443774467894&lt;/D&gt;&lt;D xsi:type="xsd:double"&gt;0.313244461870222&lt;/D&gt;&lt;/FQL&gt;&lt;FQL&gt;&lt;Q&gt;GE-US^FF_SALES(ANN_R,-9,0,Y,RP)/FF_WKCAP(ANN_R,-9,0,Y,RP)&lt;/Q&gt;&lt;R&gt;10&lt;/R&gt;&lt;C&gt;1&lt;/C&gt;&lt;D xsi:type="xsd:double"&gt;0.666319384422756&lt;/D&gt;&lt;D xsi:type="xsd:double"&gt;0.640304014493714&lt;/D&gt;&lt;D xsi:type="xsd:double"&gt;0.579666758737225&lt;/D&gt;&lt;D xsi:type="xsd:double"&gt;6.16247103433748&lt;/D&gt;&lt;D xsi:type="xsd:double"&gt;3.4321075383431&lt;/D&gt;&lt;D xsi:type="xsd:double"&gt;3.84626985400289&lt;/D&gt;&lt;D xsi:type="xsd:double"&gt;4.74185915944819&lt;/D&gt;&lt;D xsi:type="xsd:double"&gt;7.05006087517009&lt;/D&gt;&lt;D xsi:type="xsd:double"&gt;3.92302930251754&lt;/D&gt;&lt;D xsi:type="xsd:double"&gt;2.47017901864391&lt;/D&gt;&lt;/FQL&gt;&lt;FQL&gt;&lt;Q&gt;GE-US^FF_CURR_RATIO(ANN_R,-9,0,Y,RP)&lt;/Q&gt;&lt;R&gt;10&lt;/R&gt;&lt;C&gt;1&lt;/C&gt;&lt;D xsi:type="xsd:double"&gt;2.11643542666388&lt;/D&gt;&lt;D xsi:type="xsd:double"&gt;2.47033408266954&lt;/D&gt;&lt;D xsi:type="xsd:double"&gt;2.86316920701712&lt;/D&gt;&lt;D xsi:type="xsd:double"&gt;1.17003823800697&lt;/D&gt;&lt;D xsi:type="xsd:double"&gt;1.32141225732775&lt;/D&gt;&lt;D xsi:type="xsd:double"&gt;1.38201765138514&lt;/D&gt;&lt;D xsi:type="xsd:double"&gt;1.31446731234867&lt;/D&gt;&lt;D xsi:type="xsd:double"&gt;1.23098046351591&lt;/D&gt;&lt;D xsi:type="xsd:double"&gt;1.30722998503791&lt;/D&gt;&lt;D xsi:type="xsd:double"&gt;1.57684281866985&lt;/D&gt;&lt;/FQL&gt;&lt;FQL&gt;&lt;Q&gt;GE-US^FF_QUICK_RATIO(ANN_R,-9,0,Y,RP)&lt;/Q&gt;&lt;R&gt;10&lt;/R&gt;&lt;C&gt;1&lt;/C&gt;&lt;D xsi:type="xsd:double"&gt;2.04449718339245&lt;/D&gt;&lt;D xsi:type="xsd:double"&gt;2.37044713281443&lt;/D&gt;&lt;D xsi:type="xsd:double"&gt;2.73205231053325&lt;/D&gt;&lt;D xsi:type="xsd:double"&gt;1.01163259275179&lt;/D&gt;&lt;D xsi:type="xsd:double"&gt;1.10714693566806&lt;/D&gt;&lt;D xsi:type="xsd:double"&gt;1.10800441284629&lt;/D&gt;&lt;D xsi:type="xsd:double"&gt;1.06957475786925&lt;/D&gt;&lt;D xsi:type="xsd:double"&gt;1.00264677176556&lt;/D&gt;&lt;D xsi:type="xsd:double"&gt;1.0889483427586&lt;/D&gt;&lt;D xsi:type="xsd:double"&gt;1.29344200895325&lt;/D&gt;&lt;/FQL&gt;&lt;FQL&gt;&lt;Q&gt;GE-US^FF_CASH_RATIO(ANN_R,-9,0,Y,RP)&lt;/Q&gt;&lt;R&gt;10&lt;/R&gt;&lt;C&gt;1&lt;/C&gt;&lt;D xsi:type="xsd:double"&gt;0.440752138535364&lt;/D&gt;&lt;D xsi:type="xsd:double"&gt;0.502592356770664&lt;/D&gt;&lt;D xsi:type="xsd:double"&gt;0.670190866847291&lt;/D&gt;&lt;D xsi:type="xsd:double"&gt;0.627076449148824&lt;/D&gt;&lt;D xsi:type="xsd:double"&gt;0.670755614769699&lt;/D&gt;&lt;D xsi:type="xsd:double"&gt;0.589960774699681&lt;/D&gt;&lt;D xsi:type="xsd:double"&gt;0.554466807909605&lt;/D&gt;&lt;D xsi:type="xsd:double"&gt;0.514863277695985&lt;/D&gt;&lt;D xsi:type="xsd:double"&gt;0.579451221058504&lt;/D&gt;&lt;D xsi:type="xsd:double"&gt;0.783837771317484&lt;/D&gt;&lt;/FQL&gt;&lt;FQL&gt;&lt;Q&gt;GE-US^FF_NET_DEBT(ANN_R,-9,0,Y,RP)/FF_EBITDA_OPER(ANN_R,-9,0,Y,RP)&lt;/Q&gt;&lt;R&gt;10&lt;/R&gt;&lt;C&gt;1&lt;/C&gt;&lt;D xsi:type="xsd:double"&gt;8.75141135727501&lt;/D&gt;&lt;D xsi:type="xsd:double"&gt;8.66008230452675&lt;/D&gt;&lt;D xsi:type="xsd:double"&gt;8.3560808126667&lt;/D&gt;&lt;D xsi:type="xsd:double"&gt;9.72506478329353&lt;/D&gt;&lt;D xsi:type="xsd:double"&gt;6.8178600160901&lt;/D&gt;&lt;D xsi:type="xsd:double"&gt;4.24062394684897&lt;/D&gt;&lt;D xsi:type="xsd:double"&gt;11.3706398996236&lt;/D&gt;&lt;D xsi:type="xsd:double"&gt;4.24954558780416&lt;/D&gt;&lt;D xsi:type="xsd:double"&gt;3.40379517231757&lt;/D&gt;&lt;D xsi:type="xsd:double"&gt;3.79678378676066&lt;/D&gt;&lt;/FQL&gt;&lt;FQL&gt;&lt;Q&gt;GE-US^FF_NET_DEBT(ANN_R,-9,0,Y,RP)/(FF_EBITDA_OPER(ANN_R,-9,0,Y,RP)-FF_CAPEX(ANN_R,-9,0,Y,RP))&lt;/Q&gt;&lt;R&gt;10&lt;/R&gt;&lt;C&gt;1&lt;/C&gt;&lt;D xsi:type="xsd:double"&gt;12.5031177985631&lt;/D&gt;&lt;D xsi:type="xsd:double"&gt;14.1746232213522&lt;/D&gt;&lt;D xsi:type="xsd:double"&gt;13.5184080058759&lt;/D&gt;&lt;D xsi:type="xsd:double"&gt;15.2545628437077&lt;/D&gt;&lt;D xsi:type="xsd:double"&gt;11.2137438249824&lt;/D&gt;&lt;D xsi:type="xsd:double"&gt;6.48997936928971&lt;/D&gt;&lt;D xsi:type="xsd:double"&gt;1812.48&lt;/D&gt;&lt;D xsi:type="xsd:double"&gt;7.17016224772457&lt;/D&gt;&lt;D xsi:type="xsd:double"&gt;5.92183517417162&lt;/D&gt;&lt;D xsi:type="xsd:double"&gt;6.0731148696265&lt;/D&gt;&lt;/FQL&gt;&lt;FQL&gt;&lt;Q&gt;GE-US^FF_DEBT_EBITDA_OPER(ANN_R,-9,0,Y,RP)&lt;/Q&gt;&lt;R&gt;10&lt;/R&gt;&lt;C&gt;1&lt;/C&gt;&lt;D xsi:type="xsd:double"&gt;10.7557996109872&lt;/D&gt;&lt;D xsi:type="xsd:double"&gt;10.6496913580247&lt;/D&gt;&lt;D xsi:type="xsd:double"&gt;10.8688496680098&lt;/D&gt;&lt;D xsi:type="xsd:double"&gt;13.2830648849144&lt;/D&gt;&lt;D xsi:type="xsd:double"&gt;10.5981228211317&lt;/D&gt;&lt;D xsi:type="xsd:double"&gt;6.55774878436281&lt;/D&gt;&lt;D xsi:type="xsd:double"&gt;16.8872020075282&lt;/D&gt;&lt;D xsi:type="xsd:double"&gt;6.07446496628555&lt;/D&gt;&lt;D xsi:type="xsd:double"&gt;6.34030975303474&lt;/D&gt;&lt;D xsi:type="xsd:double"&gt;8.26809119947131&lt;/D&gt;&lt;/FQL&gt;&lt;FQL&gt;&lt;Q&gt;GE-US^(FF_DEBT(ANN_R,-9,0,Y,RP)+IF(FF_PENS_FUNDED_STATUS(ANN_R,-9,0,Y,RP)&amp;lt;0,FF_PENS_FUNDED_STATUS(ANN_R,-9,0,Y,RP)*-1,0)) // FF_EBITDA_OPER(ANN_R,-9,0,Y,RP)&lt;/Q&gt;&lt;R&gt;10&lt;/R&gt;&lt;C&gt;1&lt;/C&gt;&lt;D xsi:type="xsd:double"&gt;11.2688457706722&lt;/D&gt;&lt;D xsi:type="xsd:double"&gt;11.2321502057613&lt;/D&gt;&lt;D xsi:type="xsd:double"&gt;11.2176380455139&lt;/D&gt;&lt;D xsi:type="xsd:double"&gt;14.5867588029064&lt;/D&gt;&lt;D xsi:type="xsd:double"&gt;12.0597479216948&lt;/D&gt;&lt;D xsi:type="xsd:double"&gt;8.05310288382841&lt;/D&gt;&lt;D xsi:type="xsd:double"&gt;20.488582183187&lt;/D&gt;&lt;D xsi:type="xsd:double"&gt;7.36704778657285&lt;/D&gt;&lt;D xsi:type="xsd:double"&gt;8.18968885168132&lt;/D&gt;&lt;D xsi:type="xsd:double"&gt;10.9072585086463&lt;/D&gt;&lt;/FQL&gt;&lt;FQL&gt;&lt;Q&gt;GE-US^FF_EBITDA_OPER(ANN_R,-9,0,Y,RP)/FF_INT_EXP_NET(ANN_R,-9,0,Y,RP)&lt;/Q&gt;&lt;R&gt;10&lt;/R&gt;&lt;C&gt;1&lt;/C&gt;&lt;D xsi:type="xsd:double"&gt;3.30884545954007&lt;/D&gt;&lt;D xsi:type="xsd:double"&gt;3.43129467831612&lt;/D&gt;&lt;D xsi:type="xsd:double"&gt;4.34871668311945&lt;/D&gt;&lt;D xsi:type="xsd:double"&gt;8.09917695473251&lt;/D&gt;&lt;D xsi:type="xsd:double"&gt;6.03398058252427&lt;/D&gt;&lt;D xsi:type="xsd:double"&gt;4.85190376080355&lt;/D&gt;&lt;D xsi:type="xsd:double"&gt;1.63688642431711&lt;/D&gt;&lt;D xsi:type="xsd:double"&gt;3.74013157894737&lt;/D&gt;&lt;D xsi:type="xsd:double"&gt;3.3149861239593&lt;/D&gt;&lt;D xsi:type="xsd:double"&gt;2.80996595481275&lt;/D&gt;&lt;/FQL&gt;&lt;FQL&gt;&lt;Q&gt;GE-US^FF_EBIT_OPER_INT_COVG(ANN_R,-9,0,Y,RP)&lt;/Q&gt;&lt;R&gt;10&lt;/R&gt;&lt;C&gt;1&lt;/C&gt;&lt;D xsi:type="xsd:double"&gt;2.44720350932164&lt;/D&gt;&lt;D xsi:type="xsd:double"&gt;2.45787481292367&lt;/D&gt;&lt;D xsi:type="xsd:double"&gt;2.9225378089266&lt;/D&gt;&lt;D xsi:type="xsd:double"&gt;5.40122199592668&lt;/D&gt;&lt;D xsi:type="xsd:double"&gt;3.89762516046213&lt;/D&gt;&lt;D xsi:type="xsd:double"&gt;3.22961075069509&lt;/D&gt;&lt;D xsi:type="xsd:double"&gt;0.111111111111111&lt;/D&gt;&lt;D xsi:type="xsd:double"&gt;2.29671052631579&lt;/D&gt;&lt;D xsi:type="xsd:double"&gt;2.02104532839963&lt;/D&gt;&lt;D xsi:type="xsd:double"&gt;0.947384710615908&lt;/D&gt;&lt;/FQL&gt;&lt;FQL&gt;&lt;Q&gt;GE-US^FF_EBIT_OPER_FIX_CHRG_COVG(ANN_R,-9,0,Y,RP)&lt;/Q&gt;&lt;R&gt;10&lt;/R&gt;&lt;C&gt;1&lt;/C&gt;&lt;D xsi:type="xsd:double"&gt;2.19877491675207&lt;/D&gt;&lt;D xsi:type="xsd:double"&gt;2.45787481292367&lt;/D&gt;&lt;D xsi:type="xsd:double"&gt;2.9225378089266&lt;/D&gt;&lt;D xsi:type="xsd:double"&gt;5.40122199592668&lt;/D&gt;&lt;D xsi:type="xsd:double"&gt;3.79220249266475&lt;/D&gt;&lt;D xsi:type="xsd:double"&gt;2.82169457326285&lt;/D&gt;&lt;D xsi:type="xsd:double"&gt;0.101979264844486&lt;/D&gt;&lt;D xsi:type="xsd:double"&gt;2.09125399361022&lt;/D&gt;&lt;D xsi:type="xsd:double"&gt;1.5679545061232&lt;/D&gt;&lt;D xsi:type="xsd:double"&gt;0.835128316500406&lt;/D&gt;&lt;/FQL&gt;&lt;FQL&gt;&lt;Q&gt;GE-US^FF_OPER_CF(ANN_R,-9,0,Y,RP)/FF_INT_EXP_NET(ANN_R,-9,0,Y,RP)&lt;/Q&gt;&lt;R&gt;10&lt;/R&gt;&lt;C&gt;1&lt;/C&gt;&lt;D xsi:type="xsd:double"&gt;2.61824032650498&lt;/D&gt;&lt;D xsi:type="xsd:double"&gt;2.7650692789692&lt;/D&gt;&lt;D xsi:type="xsd:double"&gt;3.52653010858835&lt;/D&gt;&lt;D xsi:type="xsd:double"&gt;11.4028806584362&lt;/D&gt;&lt;D xsi:type="xsd:double"&gt;6.43721682847896&lt;/D&gt;&lt;D xsi:type="xsd:double"&gt;-0.056996028965195&lt;/D&gt;&lt;D xsi:type="xsd:double"&gt;1.23885808174163&lt;/D&gt;&lt;D xsi:type="xsd:double"&gt;1.09166666666667&lt;/D&gt;&lt;D xsi:type="xsd:double"&gt;2.02867715078631&lt;/D&gt;&lt;D xsi:type="xsd:double"&gt;1.11327762302693&lt;/D&gt;&lt;/FQL&gt;&lt;FQL&gt;&lt;Q&gt;GE-US^FF_DEBT_LT(ANN_R,-9,0,Y,RP)/FF_EBITDA_OPER(ANN_R,-9,0,Y,RP)&lt;/Q&gt;&lt;R&gt;10&lt;/R&gt;&lt;C&gt;1&lt;/C&gt;&lt;D xsi:type="xsd:double"&gt;7.23748754684757&lt;/D&gt;&lt;D xsi:type="xsd:double"&gt;7.8079475308642&lt;/D&gt;&lt;D xsi:type="xsd:double"&gt;8.40199194143352&lt;/D&gt;&lt;D xsi:type="xsd:double"&gt;9.70474061277374&lt;/D&gt;&lt;D xsi:type="xsd:double"&gt;7.92394743899169&lt;/D&gt;&lt;D xsi:type="xsd:double"&gt;5.07905252515526&lt;/D&gt;&lt;D xsi:type="xsd:double"&gt;13.8713927227102&lt;/D&gt;&lt;D xsi:type="xsd:double"&gt;5.32535913221929&lt;/D&gt;&lt;D xsi:type="xsd:double"&gt;4.94265383005442&lt;/D&gt;&lt;D xsi:type="xsd:double"&gt;8.1112457319088&lt;/D&gt;&lt;/FQL&gt;&lt;FQL&gt;&lt;Q&gt;GE-US^(FF_DEBT_LT(ANN_R,-9,0,Y,RP)/FA_STKHLDRS_EQUITY(-9,0,Y,RP))*100&lt;/Q&gt;&lt;R&gt;10&lt;/R&gt;&lt;C&gt;1&lt;/C&gt;&lt;D xsi:type="xsd:double"&gt;262.043319191329&lt;/D&gt;&lt;D xsi:type="xsd:double"&gt;246.755157446393&lt;/D&gt;&lt;D xsi:type="xsd:double"&gt;226.784155139929&lt;/D&gt;&lt;D xsi:type="xsd:double"&gt;149.032842016558&lt;/D&gt;&lt;D xsi:type="xsd:double"&gt;150.336813399271&lt;/D&gt;&lt;D xsi:type="xsd:double"&gt;139.126707812418&lt;/D&gt;&lt;D xsi:type="xsd:double"&gt;172.035230225791&lt;/D&gt;&lt;D xsi:type="xsd:double"&gt;293.160324069591&lt;/D&gt;&lt;D xsi:type="xsd:double"&gt;250.204831190846&lt;/D&gt;&lt;D xsi:type="xsd:double"&gt;207.138838883888&lt;/D&gt;&lt;/FQL&gt;&lt;FQL&gt;&lt;Q&gt;GE-US^FF_LTD_TCAP(ANN_R,-9,0,Y,RP)&lt;/Q&gt;&lt;R&gt;10&lt;/R&gt;&lt;C&gt;1&lt;/C&gt;&lt;D xsi:type="xsd:double"&gt;53.5406514693418&lt;/D&gt;&lt;D xsi:type="xsd:double"&gt;56.5222329384866&lt;/D&gt;&lt;D xsi:type="xsd:double"&gt;57.6517797689279&lt;/D&gt;&lt;D xsi:type="xsd:double"&gt;49.0265232312498&lt;/D&gt;&lt;D xsi:type="xsd:double"&gt;49.9337560329327&lt;/D&gt;&lt;D xsi:type="xsd:double"&gt;49.7535830672659&lt;/D&gt;&lt;D xsi:type="xsd:double"&gt;57.9972825659293&lt;/D&gt;&lt;D xsi:type="xsd:double"&gt;67.4864951218969&lt;/D&gt;&lt;D xsi:type="xsd:double"&gt;57.6914620740198&lt;/D&gt;&lt;D xsi:type="xsd:double"&gt;64.6141157477275&lt;/D&gt;&lt;/FQL&gt;&lt;FQL&gt;&lt;Q&gt;GE-US^(FF_DEBT_LT(ANN_R,-9,0,Y,RP)/FA_ASSETS_TOTAL(-9,0,Y,RP))*100&lt;/Q&gt;&lt;R&gt;10&lt;/R&gt;&lt;C&gt;1&lt;/C&gt;&lt;D xsi:type="xsd:double"&gt;40.7949941839477&lt;/D&gt;&lt;D xsi:type="xsd:double"&gt;42.3241009511222&lt;/D&gt;&lt;D xsi:type="xsd:double"&gt;43.2397819487057&lt;/D&gt;&lt;D xsi:type="xsd:double"&gt;28.1586505006664&lt;/D&gt;&lt;D xsi:type="xsd:double"&gt;28.7006404814587&lt;/D&gt;&lt;D xsi:type="xsd:double"&gt;27.0818305270967&lt;/D&gt;&lt;D xsi:type="xsd:double"&gt;28.0952986022872&lt;/D&gt;&lt;D xsi:type="xsd:double"&gt;28.5890559290877&lt;/D&gt;&lt;D xsi:type="xsd:double"&gt;25.8484439417709&lt;/D&gt;&lt;D xsi:type="xsd:double"&gt;28.8735542050578&lt;/D&gt;&lt;/FQL&gt;&lt;FQL&gt;&lt;Q&gt;GE-US^FF_DEBT_ASSETS(ANN_R,-9,0,Y,RP)&lt;/Q&gt;&lt;R&gt;10&lt;/R&gt;&lt;C&gt;1&lt;/C&gt;&lt;D xsi:type="xsd:double"&gt;60.6263955182972&lt;/D&gt;&lt;D xsi:type="xsd:double"&gt;57.7281814911789&lt;/D&gt;&lt;D xsi:type="xsd:double"&gt;55.9351512062769&lt;/D&gt;&lt;D xsi:type="xsd:double"&gt;38.628646407452&lt;/D&gt;&lt;D xsi:type="xsd:double"&gt;38.3582970330856&lt;/D&gt;&lt;D xsi:type="xsd:double"&gt;34.9663328618479&lt;/D&gt;&lt;D xsi:type="xsd:double"&gt;35.1766135671628&lt;/D&gt;&lt;D xsi:type="xsd:double"&gt;32.4106517168886&lt;/D&gt;&lt;D xsi:type="xsd:double"&gt;35.4321348752794&lt;/D&gt;&lt;D xsi:type="xsd:double"&gt;30.7469123701235&lt;/D&gt;&lt;/FQL&gt;&lt;FQL&gt;&lt;Q&gt;GE-US^(FF_NET_DEBT(ANN_R,-9,0,Y,RP) // FF_SHLDRS_EQ(ANN_R,-9,0,Y,RP))*100&lt;/Q&gt;&lt;R&gt;10&lt;/R&gt;&lt;C&gt;1&lt;/C&gt;&lt;D xsi:type="xsd:double"&gt;316.857039798004&lt;/D&gt;&lt;D xsi:type="xsd:double"&gt;273.685237266919&lt;/D&gt;&lt;D xsi:type="xsd:double"&gt;225.544935128594&lt;/D&gt;&lt;D xsi:type="xsd:double"&gt;149.344954314562&lt;/D&gt;&lt;D xsi:type="xsd:double"&gt;129.351608767324&lt;/D&gt;&lt;D xsi:type="xsd:double"&gt;116.160257424698&lt;/D&gt;&lt;D xsi:type="xsd:double"&gt;161.741923969302&lt;/D&gt;&lt;D xsi:type="xsd:double"&gt;233.936929085569&lt;/D&gt;&lt;D xsi:type="xsd:double"&gt;172.305410368696&lt;/D&gt;&lt;D xsi:type="xsd:double"&gt;96.9593834383438&lt;/D&gt;&lt;/FQL&gt;&lt;FQL&gt;&lt;Q&gt;GE-US^FF_DEBT_EQ(ANN_R,-9,0,Y,RP)&lt;/Q&gt;&lt;R&gt;10&lt;/R&gt;&lt;C&gt;1&lt;/C&gt;&lt;D xsi:type="xsd:double"&gt;389.428708840756&lt;/D&gt;&lt;D xsi:type="xsd:double"&gt;336.563002942467&lt;/D&gt;&lt;D xsi:type="xsd:double"&gt;293.368870915859&lt;/D&gt;&lt;D xsi:type="xsd:double"&gt;203.984113484032&lt;/D&gt;&lt;D xsi:type="xsd:double"&gt;201.072511549342&lt;/D&gt;&lt;D xsi:type="xsd:double"&gt;179.631534525505&lt;/D&gt;&lt;D xsi:type="xsd:double"&gt;240.212386221667&lt;/D&gt;&lt;D xsi:type="xsd:double"&gt;334.398502307866&lt;/D&gt;&lt;D xsi:type="xsd:double"&gt;333.694730894194&lt;/D&gt;&lt;D xsi:type="xsd:double"&gt;220.578307830783&lt;/D&gt;&lt;/FQL&gt;&lt;FQL&gt;&lt;Q&gt;GE-US^FF_NET_DEBT_TCAP(ANN_R,-9,0,Y,RP)&lt;/Q&gt;&lt;R&gt;10&lt;/R&gt;&lt;C&gt;1&lt;/C&gt;&lt;D xsi:type="xsd:double"&gt;64.7401825995252&lt;/D&gt;&lt;D xsi:type="xsd:double"&gt;62.6908912166767&lt;/D&gt;&lt;D xsi:type="xsd:double"&gt;57.3367522965074&lt;/D&gt;&lt;D xsi:type="xsd:double"&gt;49.1291971158906&lt;/D&gt;&lt;D xsi:type="xsd:double"&gt;42.9636063756439&lt;/D&gt;&lt;D xsi:type="xsd:double"&gt;41.5404713283877&lt;/D&gt;&lt;D xsi:type="xsd:double"&gt;47.5414566076141&lt;/D&gt;&lt;D xsi:type="xsd:double"&gt;53.8530698984255&lt;/D&gt;&lt;D xsi:type="xsd:double"&gt;39.7296527014372&lt;/D&gt;&lt;D xsi:type="xsd:double"&gt;30.2451479310708&lt;/D&gt;&lt;/FQL&gt;&lt;FQL&gt;&lt;Q&gt;GE-US^FF_TOT_DEBT_TCAP_STD(ANN_R,-9,0,Y,RP)&lt;/Q&gt;&lt;R&gt;10&lt;/R&gt;&lt;C&gt;1&lt;/C&gt;&lt;D xsi:type="xsd:double"&gt;79.5680150768318&lt;/D&gt;&lt;D xsi:type="xsd:double"&gt;77.0937987584856&lt;/D&gt;&lt;D xsi:type="xsd:double"&gt;74.5785680073831&lt;/D&gt;&lt;D xsi:type="xsd:double"&gt;67.1035440458131&lt;/D&gt;&lt;D xsi:type="xsd:double"&gt;66.7854101042329&lt;/D&gt;&lt;D xsi:type="xsd:double"&gt;64.2386542098388&lt;/D&gt;&lt;D xsi:type="xsd:double"&gt;70.6065963351362&lt;/D&gt;&lt;D xsi:type="xsd:double"&gt;76.9796628052994&lt;/D&gt;&lt;D xsi:type="xsd:double"&gt;76.9423069093278&lt;/D&gt;&lt;D xsi:type="xsd:double"&gt;68.8063734952444&lt;/D&gt;&lt;/FQL&gt;&lt;FQL&gt;&lt;Q&gt;GE-US^FF_NET_DEBT(ANN_R,-9,0,Y,RP)/FF_FUNDS_OPER_GROSS(ANN_R,-9,0,Y,RP)&lt;/Q&gt;&lt;R&gt;10&lt;/R&gt;&lt;C&gt;1&lt;/C&gt;&lt;D xsi:type="xsd:double"&gt;11.8749235572436&lt;/D&gt;&lt;D xsi:type="xsd:double"&gt;10.9206019719772&lt;/D&gt;&lt;D xsi:type="xsd:double"&gt;12.6058387911476&lt;/D&gt;&lt;D xsi:type="xsd:double"&gt;7.61787064676617&lt;/D&gt;&lt;D xsi:type="xsd:double"&gt;8.68655186551866&lt;/D&gt;&lt;D xsi:type="xsd:double"&gt;9.51929104074354&lt;/D&gt;&lt;D xsi:type="xsd:double"&gt;</t>
        </r>
      </text>
    </comment>
    <comment ref="A2" authorId="0" shapeId="0">
      <text>
        <r>
          <rPr>
            <sz val="10"/>
            <rFont val="Arial"/>
            <family val="2"/>
          </rPr>
          <t>-18.9748743718593&lt;/D&gt;&lt;D xsi:type="xsd:double"&gt;20.814474439977&lt;/D&gt;&lt;D xsi:type="xsd:double"&gt;7.82016348773842&lt;/D&gt;&lt;D xsi:type="xsd:double"&gt;37.0257787325457&lt;/D&gt;&lt;/FQL&gt;&lt;FQL&gt;&lt;Q&gt;GE-US^FF_DEBT_LT(ANN_R,-9,0,Y,RP)/FF_FUNDS_OPER_GROSS(ANN_R,-9,0,Y,RP)&lt;/Q&gt;&lt;R&gt;10&lt;/R&gt;&lt;C&gt;1&lt;/C&gt;&lt;D xsi:type="xsd:double"&gt;9.82065724677331&lt;/D&gt;&lt;D xsi:type="xsd:double"&gt;9.84603658536585&lt;/D&gt;&lt;D xsi:type="xsd:double"&gt;12.6750995248491&lt;/D&gt;&lt;D xsi:type="xsd:double"&gt;7.60195024875622&lt;/D&gt;&lt;D xsi:type="xsd:double"&gt;10.0958042913762&lt;/D&gt;&lt;D xsi:type="xsd:double"&gt;11.4013833351346&lt;/D&gt;&lt;D xsi:type="xsd:double"&gt;-23.1480318257956&lt;/D&gt;&lt;D xsi:type="xsd:double"&gt;26.0838598506605&lt;/D&gt;&lt;D xsi:type="xsd:double"&gt;11.3556659721109&lt;/D&gt;&lt;D xsi:type="xsd:double"&gt;79.0998925886144&lt;/D&gt;&lt;/FQL&gt;&lt;FQL&gt;&lt;Q&gt;GE-US^FF_FREE_CF(ANN_R+"_FCFE",-9,0,Y,RP)/FF_DEBT(ANN_R,-9,0,Y,RP)&lt;/Q&gt;&lt;R&gt;10&lt;/R&gt;&lt;C&gt;1&lt;/C&gt;&lt;D xsi:type="xsd:double"&gt;0.0456705693990204&lt;/D&gt;&lt;D xsi:type="xsd:double"&gt;0.0391368400714872&lt;/D&gt;&lt;D xsi:type="xsd:double"&gt;0.0394762949039265&lt;/D&gt;&lt;D xsi:type="xsd:double"&gt;0.0787035620295&lt;/D&gt;&lt;D xsi:type="xsd:double"&gt;0.0636734446007631&lt;/D&gt;&lt;D xsi:type="xsd:double"&gt;-0.0546431639148086&lt;/D&gt;&lt;D xsi:type="xsd:double"&gt;-0.00994865927142231&lt;/D&gt;&lt;D xsi:type="xsd:double"&gt;-0.0159169884169884&lt;/D&gt;&lt;D xsi:type="xsd:double"&gt;0.0313158145392585&lt;/D&gt;&lt;D xsi:type="xsd:double"&gt;0.00439938791124713&lt;/D&gt;&lt;/FQL&gt;&lt;FQL&gt;&lt;Q&gt;GE-US^FF_OPER_CF(ANN_R,-9,0,Y,RP)/FF_DEBT(ANN_R,-9,0,Y,RP)&lt;/Q&gt;&lt;R&gt;10&lt;/R&gt;&lt;C&gt;1&lt;/C&gt;&lt;D xsi:type="xsd:double"&gt;0.0735682323908407&lt;/D&gt;&lt;D xsi:type="xsd:double"&gt;0.0756677776167705&lt;/D&gt;&lt;D xsi:type="xsd:double"&gt;0.0746110066833751&lt;/D&gt;&lt;D xsi:type="xsd:double"&gt;0.105992563804394&lt;/D&gt;&lt;D xsi:type="xsd:double"&gt;0.100661936620075&lt;/D&gt;&lt;D xsi:type="xsd:double"&gt;-0.00179133843815845&lt;/D&gt;&lt;D xsi:type="xsd:double"&gt;0.044817261183883&lt;/D&gt;&lt;D xsi:type="xsd:double"&gt;0.048050193050193&lt;/D&gt;&lt;D xsi:type="xsd:double"&gt;0.0928362031559229&lt;/D&gt;&lt;D xsi:type="xsd:double"&gt;0.0458684009181331&lt;/D&gt;&lt;/FQL&gt;&lt;FQL&gt;&lt;Q&gt;GE-US^LIF(SWP_GET_LANGUAGE_QUICK=="JP",PROPER(CONVERT_DATE(FF_FP_END_DATE(ANN_R,-9,0,Y,RP),"M/DD/YYYY")),PROPER(CONVERT_DATE(FF_FP_END_DATE(ANN_R,-9,0,Y,RP),"MMM 'YY")))&lt;/Q&gt;&lt;R&gt;10&lt;/R&gt;&lt;C&gt;1&lt;/C&gt;&lt;D xsi:type="xsd:string"&gt;Dec '11&lt;/D&gt;&lt;D xsi:type="xsd:string"&gt;Dec '12&lt;/D&gt;&lt;D xsi:type="xsd:string"&gt;Dec '13&lt;/D&gt;&lt;D xsi:type="xsd:string"&gt;Dec '14&lt;/D&gt;&lt;D xsi:type="xsd:string"&gt;Dec '15&lt;/D&gt;&lt;D xsi:type="xsd:string"&gt;Dec '16&lt;/D&gt;&lt;D xsi:type="xsd:string"&gt;Dec '17&lt;/D&gt;&lt;D xsi:type="xsd:string"&gt;Dec '18&lt;/D&gt;&lt;D xsi:type="xsd:string"&gt;Dec '19&lt;/D&gt;&lt;D xsi:type="xsd:string"&gt;Dec '20&lt;/D&gt;&lt;/FQL&gt;&lt;FQL&gt;&lt;Q&gt;GE-US^FF_RESTATE_IND(ANN,-9,0,Y,RP)&lt;/Q&gt;&lt;R&gt;1&lt;/R&gt;&lt;C&gt;1&lt;/C&gt;&lt;D xsi:type="xsd:string" /&gt;&lt;/FQL&gt;&lt;FQL&gt;&lt;Q&gt;GE-US^FF_UPD_STATUS(ANN_R,-9,0,Y)&lt;/Q&gt;&lt;R&gt;10&lt;/R&gt;&lt;C&gt;1&lt;/C&gt;&lt;D xsi:type="xsd:string"&gt;Final&lt;/D&gt;&lt;D xsi:type="xsd:string"&gt;Final&lt;/D&gt;&lt;D xsi:type="xsd:string"&gt;Final&lt;/D&gt;&lt;D xsi:type="xsd:string"&gt;Final&lt;/D&gt;&lt;D xsi:type="xsd:string"&gt;Final&lt;/D&gt;&lt;D xsi:type="xsd:string"&gt;Final&lt;/D&gt;&lt;D xsi:type="xsd:string"&gt;Final&lt;/D&gt;&lt;D xsi:type="xsd:string"&gt;Final&lt;/D&gt;&lt;D xsi:type="xsd:string"&gt;Final&lt;/D&gt;&lt;D xsi:type="xsd:string"&gt;Final&lt;/D&gt;&lt;/FQL&gt;&lt;FQL&gt;&lt;Q&gt;GE-US^FF_NET_INC_CF(ANN_R,-9,0,Y,RP,USD,M)&lt;/Q&gt;&lt;R&gt;10&lt;/R&gt;&lt;C&gt;1&lt;/C&gt;&lt;D xsi:type="xsd:double"&gt;14151&lt;/D&gt;&lt;D xsi:type="xsd:double"&gt;13641&lt;/D&gt;&lt;D xsi:type="xsd:double"&gt;17595&lt;/D&gt;&lt;D xsi:type="xsd:double"&gt;15345&lt;/D&gt;&lt;D xsi:type="xsd:double"&gt;-6127&lt;/D&gt;&lt;D xsi:type="xsd:double"&gt;8831&lt;/D&gt;&lt;D xsi:type="xsd:double"&gt;-8849&lt;/D&gt;&lt;D xsi:type="xsd:double"&gt;-22443&lt;/D&gt;&lt;D xsi:type="xsd:double"&gt;-4912&lt;/D&gt;&lt;D xsi:type="xsd:double"&gt;5546&lt;/D&gt;&lt;/FQL&gt;&lt;FQL&gt;&lt;Q&gt;GE-US^FF_DEP_EXP_CF(ANN_R,-9,0,Y,RP,USD,M)&lt;/Q&gt;&lt;R&gt;10&lt;/R&gt;&lt;C&gt;1&lt;/C&gt;&lt;D xsi:type="xsd:double"&gt;9185&lt;/D&gt;&lt;D xsi:type="xsd:double"&gt;9346&lt;/D&gt;&lt;D xsi:type="xsd:double"&gt;9762&lt;/D&gt;&lt;D xsi:type="xsd:double"&gt;4953&lt;/D&gt;&lt;D xsi:type="xsd:double"&gt;4847&lt;/D&gt;&lt;D xsi:type="xsd:double"&gt;4997&lt;/D&gt;&lt;D xsi:type="xsd:double"&gt;7429&lt;/D&gt;&lt;D xsi:type="xsd:double"&gt;6582&lt;/D&gt;&lt;D xsi:type="xsd:double"&gt;5595&lt;/D&gt;&lt;D xsi:type="xsd:double"&gt;6018&lt;/D&gt;&lt;/FQL&gt;&lt;FQL&gt;&lt;Q&gt;GE-US^FF_DEP_EXP_XAMORT_CF(ANN_R,-9,0,Y,RP,USD,M)&lt;/Q&gt;&lt;R&gt;10&lt;/R&gt;&lt;C&gt;1&lt;/C&gt;&lt;D xsi:type="xsd:double"&gt;9185&lt;/D&gt;&lt;D xsi:type="xsd:double"&gt;9346&lt;/D&gt;&lt;D xsi:type="xsd:double"&gt;9762&lt;/D&gt;&lt;D xsi:type="xsd:double"&gt;4953&lt;/D&gt;&lt;D xsi:type="xsd:double"&gt;4847&lt;/D&gt;&lt;D xsi:type="xsd:double"&gt;4997&lt;/D&gt;&lt;D xsi:type="xsd:double"&gt;5139&lt;/D&gt;&lt;D xsi:type="xsd:double"&gt;4419&lt;/D&gt;&lt;D xsi:type="xsd:double"&gt;4026&lt;/D&gt;&lt;D xsi:type="xsd:double"&gt;4636&lt;/D&gt;&lt;/FQL&gt;&lt;FQL&gt;&lt;Q&gt;GE-US^FF_AMORT_CF(ANN_R,-9,0,Y,RP,USD,M)&lt;/Q&gt;&lt;R&gt;10&lt;/R&gt;&lt;C&gt;1&lt;/C&gt;&lt;D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xsi:type="xsd:double"&gt;2290&lt;/D&gt;&lt;D xsi:type="xsd:double"&gt;2163&lt;/D&gt;&lt;D xsi:type="xsd:double"&gt;1569&lt;/D&gt;&lt;D xsi:type="xsd:double"&gt;1382&lt;/D&gt;&lt;/FQL&gt;&lt;FQL&gt;&lt;Q&gt;GE-US^FF_DFD_TAX_CF(ANN_R,-9,0,Y,RP,USD,M)&lt;/Q&gt;&lt;R&gt;10&lt;/R&gt;&lt;C&gt;1&lt;/C&gt;&lt;D xsi:type="xsd:double"&gt;-203&lt;/D&gt;&lt;D xsi:type="xsd:double"&gt;-1171&lt;/D&gt;&lt;D xsi:type="xsd:double"&gt;-3295&lt;/D&gt;&lt;D xsi:type="xsd:double"&gt;-882&lt;/D&gt;&lt;D xsi:type="xsd:double"&gt;383&lt;/D&gt;&lt;D xsi:type="xsd:double"&gt;814&lt;/D&gt;&lt;D xsi:type="xsd:double"&gt;-5047&lt;/D&gt;&lt;D xsi:type="xsd:double"&gt;-1311&lt;/D&gt;&lt;D xsi:type="xsd:double"&gt;-1224&lt;/D&gt;&lt;D xsi:type="xsd:double"&gt;-1915&lt;/D&gt;&lt;/FQL&gt;&lt;FQL&gt;&lt;Q&gt;GE-US^FF_DFD_TAX_XITC_CF(ANN_R,-9,0,Y,RP,USD,M)&lt;/Q&gt;&lt;R&gt;10&lt;/R&gt;&lt;C&gt;1&lt;/C&gt;&lt;D xsi:type="xsd:double"&gt;-203&lt;/D&gt;&lt;D xsi:type="xsd:double"&gt;-1171&lt;/D&gt;&lt;D xsi:type="xsd:double"&gt;-3295&lt;/D&gt;&lt;D xsi:type="xsd:double"&gt;-882&lt;/D&gt;&lt;D xsi:type="xsd:double"&gt;383&lt;/D&gt;&lt;D xsi:type="xsd:double"&gt;814&lt;/D&gt;&lt;D xsi:type="xsd:double"&gt;-5047&lt;/D&gt;&lt;D xsi:type="xsd:double"&gt;-1311&lt;/D&gt;&lt;D xsi:type="xsd:double"&gt;-1224&lt;/D&gt;&lt;D xsi:type="xsd:double"&gt;-1915&lt;/D&gt;&lt;/FQL&gt;&lt;FQL&gt;&lt;Q&gt;GE-US^FF_ITC_CF(ANN_R,-9,0,Y,RP,USD,M)&lt;/Q&gt;&lt;R&gt;10&lt;/R&gt;&lt;C&gt;1&lt;/C&gt;&lt;D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xsi:type="xsd:string"&gt;@NA&lt;/D&gt;&lt;/FQL&gt;&lt;FQL&gt;&lt;Q&gt;GE-US^FF_NON_CASH(ANN_R,-9,0,Y,RP,USD,M)&lt;/Q&gt;&lt;R&gt;10&lt;/R&gt;&lt;C&gt;1&lt;/C&gt;&lt;D xsi:type="xsd:double"&gt;7936&lt;/D&gt;&lt;D xsi:type="xsd:double"&gt;9016&lt;/D&gt;&lt;D xsi:type="xsd:double"&gt;-701&lt;/D&gt;&lt;D xsi:type="xsd:double"&gt;5709&lt;/D&gt;&lt;D xsi:type="xsd:double"&gt;15531&lt;/D&gt;&lt;D xsi:type="xsd:double"&gt;-5389&lt;/D&gt;&lt;D xsi:type="xsd:double"&gt;1691&lt;/D&gt;&lt;D xsi:type="xsd:double"&gt;20654&lt;/D&gt;&lt;D xsi:type="xsd:double"&gt;6780&lt;/D&gt;&lt;D xsi:type="xsd:double"&gt;-8718&lt;/D&gt;&lt;/FQL&gt;&lt;FQL&gt;&lt;Q&gt;GE-US^FF_FUNDS_OPER_GROSS(ANN_R,-9,0,Y,RP,USD,M)&lt;/Q&gt;&lt;R&gt;10&lt;/R&gt;&lt;C&gt;1&lt;/C&gt;&lt;D xsi:type="xsd:double"&gt;31069&lt;/D&gt;&lt;D xsi:type="xsd:double"&gt;30832&lt;/D&gt;&lt;D xsi:type="xsd:double"&gt;23361&lt;/D&gt;&lt;D xsi:type="xsd:double"&gt;25125&lt;/D&gt;&lt;D xsi:type="xsd:double"&gt;14634&lt;/D&gt;&lt;D xsi:type="xsd:double"&gt;9253&lt;/D&gt;&lt;D xsi:type="xsd:double"&gt;-4776&lt;/D&gt;&lt;D xsi:type="xsd:double"&gt;3482&lt;/D&gt;&lt;D xsi:type="xsd:double"&gt;6239&lt;/D&gt;&lt;D xsi:type="xsd:double"&gt;931&lt;/D&gt;&lt;/FQL&gt;&lt;FQL&gt;&lt;Q&gt;GE-US^FF_XORD_CF(ANN_R,-9,0,Y,RP,USD,M)&lt;/Q&gt;&lt;R&gt;10&lt;/R&gt;&lt;C&gt;1&lt;/C&gt;&lt;D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xsi:type="xsd:double"&gt;0&lt;/D&gt;&lt;/FQL&gt;&lt;FQL&gt;&lt;Q&gt;GE-US^FF_WKCAP_CHG(ANN_R,-9,0,Y,RP,USD,M)&lt;/Q&gt;&lt;R&gt;10&lt;/R&gt;&lt;C&gt;1&lt;/C&gt;&lt;D xsi:type="xsd:double"&gt;2290&lt;/D&gt;&lt;D xsi:type="xsd:double"&gt;499&lt;/D&gt;&lt;D xsi:type="xsd:double"&gt;5218&lt;/D&gt;&lt;D xsi:type="xsd:double"&gt;2584&lt;/D&gt;&lt;D xsi:type="xsd:double"&gt;5257&lt;/D&gt;&lt;D xsi:type="xsd:double"&gt;-9497&lt;/D&gt;&lt;D xsi:type="xsd:double"&gt;10808&lt;/D&gt;&lt;D xsi:type="xsd:double"&gt;1496&lt;/D&gt;&lt;D xsi:type="xsd:double"&gt;2533&lt;/D&gt;&lt;D xsi:type="xsd:double"&gt;2666&lt;/D&gt;&lt;/FQL&gt;&lt;FQL&gt;&lt;Q&gt;GE-US^FF_RECEIV_CF(ANN_R,-9,0,Y,RP,USD,M)&lt;/Q&gt;&lt;R&gt;10&lt;/R&gt;&lt;C&gt;1&lt;/C&gt;&lt;D xsi:type="xsd:double"&gt;-466&lt;/D&gt;&lt;D xsi:type="xsd:double"&gt;-774&lt;/D&gt;&lt;D xsi:type="xsd:double"&gt;-485&lt;/D&gt;&lt;D xsi:type="xsd:double"&gt;-1913&lt;/D&gt;&lt;D xsi:type="xsd:double"&gt;-52&lt;/D&gt;&lt;D xsi:type="xsd:double"&gt;1514&lt;/D&gt;&lt;D xsi:type="xsd:double"&gt;-2846&lt;/D&gt;&lt;D xsi:type="xsd:double"&gt;-358&lt;/D&gt;&lt;D xsi:type="xsd:double"&gt;-2851&lt;/D&gt;&lt;D xsi:type="xsd:double"&gt;-1319&lt;/D&gt;&lt;/FQL&gt;&lt;FQL&gt;&lt;Q&gt;GE-US^FF_INVEN_CF(ANN_R,-9,0,Y,RP,USD,M)&lt;/Q&gt;&lt;R&gt;10&lt;/R&gt;&lt;C&gt;1&lt;/C&gt;&lt;D xsi:type="xsd:double"&gt;-1168&lt;/D&gt;&lt;D xsi:type="xsd:double"&gt;-1274&lt;/D&gt;&lt;D xsi:type="xsd:double"&gt;-1368&lt;/D&gt;&lt;D xsi:type="xsd:double"&gt;-872&lt;/D&gt;&lt;D xsi:type="xsd:double"&gt;-314&lt;/D&gt;&lt;D xsi:type="xsd:double"&gt;-1389&lt;/D&gt;&lt;D xsi:type="xsd:double"&gt;1183&lt;/D&gt;&lt;D xsi:type="xsd:double"&gt;-356&lt;/D&gt;&lt;D xsi:type="xsd:double"&gt;-1581&lt;/D&gt;&lt;D xsi:type="xsd:double"&gt;1105&lt;/D&gt;&lt;/FQL&gt;&lt;FQL&gt;&lt;Q&gt;GE-US^FF_PAY_ACCT_CF(ANN_R,-9,0,Y,RP,USD,M)&lt;/Q&gt;&lt;R&gt;10&lt;/R&gt;&lt;C&gt;1&lt;/C&gt;&lt;D xsi:type="xsd:double"&gt;1235&lt;/D&gt;&lt;D xsi:type="xsd:double"&gt;-424&lt;/D&gt;&lt;D xsi:type="xsd:double"&gt;360&lt;/D&gt;&lt;D xsi:type="xsd:double"&gt;565&lt;/D&gt;&lt;D xsi:type="xsd:double"&gt;-541&lt;/D&gt;&lt;D xsi:type="xsd:double"&gt;1198&lt;/D&gt;&lt;D xsi:type="xsd:double"&gt;-394&lt;/D&gt;&lt;D xsi:type="xsd:double"&gt;1545&lt;/D&gt;&lt;D xsi:type="xsd:double"&gt;2674&lt;/D&gt;&lt;D xsi:type="xsd:double"&gt;-575&lt;/D&gt;&lt;/FQL&gt;&lt;FQL&gt;&lt;Q&gt;GE-US^FF_PAY_TAX_CF(ANN_R,-9,0,Y,RP,USD,M)&lt;/Q&gt;&lt;R&gt;10&lt;/R&gt;&lt;C&gt;1&lt;/C&gt;&lt;D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xsi:type="xsd:string"&gt;@NA&lt;/D&gt;&lt;/FQL&gt;&lt;FQL&gt;&lt;Q&gt;GE-US^FF_ACCR_EXP_CF(ANN_R,-9,0,Y,RP,USD,M)&lt;/Q&gt;&lt;R&gt;10&lt;/R&gt;&lt;C&gt;1&lt;/C&gt;&lt;D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xsi:type="xsd:string"&gt;@NA&lt;/D&gt;&lt;/FQL&gt;&lt;FQL&gt;&lt;Q&gt;GE-US^FF_WKCAP_ASSETS_OTH(ANN_R,-9,0,Y,RP,USD,M)&lt;/Q&gt;&lt;R&gt;10&lt;/R&gt;&lt;C&gt;1&lt;/C&gt;&lt;D xsi:type="xsd:double"&gt;2689&lt;/D&gt;&lt;D xsi:type="xsd:double"&gt;2971&lt;/D&gt;&lt;D xsi:type="xsd:double"&gt;6711&lt;/D&gt;&lt;D xsi:type="xsd:double"&gt;4804&lt;/D&gt;&lt;D xsi:type="xsd:double"&gt;6164&lt;/D&gt;&lt;D xsi:type="xsd:double"&gt;-10820&lt;/D&gt;&lt;D xsi:type="xsd:double"&gt;12865&lt;/D&gt;&lt;D xsi:type="xsd:double"&gt;665&lt;/D&gt;&lt;D xsi:type="xsd:double"&gt;4291&lt;/D&gt;&lt;D xsi:type="xsd:double"&gt;3455&lt;/D&gt;&lt;/FQL&gt;&lt;FQL&gt;&lt;Q&gt;GE-US^FF_OPER_CF(ANN_R,-9,0,Y,RP,USD,M)&lt;/Q&gt;&lt;R&gt;10&lt;/R&gt;&lt;C&gt;1&lt;/C&gt;&lt;D xsi:type="xsd:double"&gt;33359&lt;/D&gt;&lt;D xsi:type="xsd:double"&gt;31331&lt;/D&gt;&lt;D xsi:type="xsd:double"&gt;28579&lt;/D&gt;&lt;D xsi:type="xsd:double"&gt;27709&lt;/D&gt;&lt;D xsi:type="xsd:double"&gt;19891&lt;/D&gt;&lt;D xsi:type="xsd:double"&gt;-244&lt;/D&gt;&lt;D xsi:type="xsd:double"&gt;6032&lt;/D&gt;&lt;D xsi:type="xsd:double"&gt;4978&lt;/D&gt;&lt;D xsi:type="xsd:double"&gt;8772&lt;/D&gt;&lt;D xsi:type="xsd:double"&gt;3597&lt;/D&gt;&lt;/FQL&gt;&lt;FQL&gt;&lt;Q&gt;GE-US^(FF_OPER_CF(ANN_R,-9,0,Y,RP,LOCAL,M)/FF_SALES(ANN_R,-9,0,Y,RP,LOCAL,M))*100&lt;/Q&gt;&lt;R&gt;10&lt;/R&gt;&lt;C&gt;1&lt;/C&gt;&lt;D xsi:type="xsd:double"&gt;23.3899636098471&lt;/D&gt;&lt;D xsi:type="xsd:double"&gt;21.6219013967868&lt;/D&gt;&lt;D xsi:type="xsd:double"&gt;20.0263476914237&lt;/D&gt;&lt;D xsi:type="xsd:double"&gt;23.680274841257&lt;/D&gt;&lt;D xsi:type="xsd:double"&gt;17.159839884054&lt;/D&gt;&lt;D xsi:type="xsd:double"&gt;-0.203555548140053&lt;/D&gt;&lt;D xsi:type="xsd:double"&gt;5.10135906565294&lt;/D&gt;&lt;D xsi:type="xsd:double"&gt;5.0568874441284&lt;/D&gt;&lt;D xsi:type="xsd:double"&gt;9.22834148650781&lt;/D&gt;&lt;D xsi:type="xsd:double"&gt;4.50227178851714&lt;/D&gt;&lt;/FQL&gt;&lt;FQL&gt;&lt;Q&gt;GE-US^FF_CF_ROIC(ANN_R,-9,0,Y,RP,LOCAL,M)&lt;/Q&gt;&lt;R&gt;10&lt;/R&gt;&lt;C&gt;1&lt;/C&gt;&lt;D xsi:type="xsd:double"&gt;7.49073173798719&lt;/D&gt;&lt;D xsi:type="xsd:double"&gt;7.3880363848589&lt;/D&gt;&lt;D xsi:type="xsd:double"&gt;6.6987159954434&lt;/D&gt;&lt;D xsi:type="xsd:double"&gt;7.43040946492953&lt;/D&gt;&lt;D xsi:type="xsd:double"&gt;7.03889421664832&lt;/D&gt;&lt;D xsi:type="xsd:double"&gt;-0.114194519131092&lt;/D&gt;&lt;D xsi:type="xsd:double"&gt;3.46756345031761&lt;/D&gt;&lt;D xsi:type="xsd:double"&gt;3.45226949616838&lt;/D&gt;&lt;D xsi:type="xsd:double"&gt;7.93957523453516&lt;/D&gt;&lt;D xsi:type="xsd:double"&gt;3.45271119899404&lt;/D&gt;&lt;/FQL&gt;&lt;FQL&gt;&lt;Q&gt;GE-US^-FF_CAPEX(ANN_R,-9,0,Y,RP,USD,M)&lt;/Q&gt;&lt;R&gt;10&lt;/R&gt;&lt;C&gt;1&lt;/C&gt;&lt;D xsi:type="xsd:double"&gt;-12650&lt;/D&gt;&lt;D xsi:type="xsd:double"&gt;-15126&lt;/D&gt;&lt;D xsi:type="xsd:double"&gt;-13458&lt;/D&gt;&lt;D xsi:type="xsd:double"&gt;-7134&lt;/D&gt;&lt;D xsi:type="xsd:double"&gt;-7309&lt;/D&gt;&lt;D xsi:type="xsd:double"&gt;-7199&lt;/D&gt;&lt;D xsi:type="xsd:double"&gt;-7920&lt;/D&gt;&lt;D xsi:type="xsd:double"&gt;-6947&lt;/D&gt;&lt;D xsi:type="xsd:double"&gt;-6095&lt;/D&gt;&lt;D xsi:type="xsd:double"&gt;-3403&lt;/D&gt;&lt;/FQL&gt;&lt;FQL&gt;&lt;Q&gt;GE-US^-FF_CAPEX_FIX(ANN_R,-9,0,Y,RP,USD,M)&lt;/Q&gt;&lt;R&gt;10&lt;/R&gt;&lt;C&gt;1&lt;/C&gt;&lt;D xsi:type="xsd:double"&gt;-12650&lt;/D&gt;&lt;D xsi:type="xsd:double"&gt;-15126&lt;/D&gt;&lt;D xsi:type="xsd:double"&gt;-13458&lt;/D&gt;&lt;D xsi:type="xsd:double"&gt;-7134&lt;/D&gt;&lt;D xsi:type="xsd:double"&gt;-7309&lt;/D&gt;&lt;D xsi:type="xsd:double"&gt;-7199&lt;/D&gt;&lt;D xsi:type="xsd:double"&gt;-7371&lt;/D&gt;&lt;D xsi:type="xsd:double"&gt;-6627&lt;/D&gt;&lt;D xsi:type="xsd:double"&gt;-5813&lt;/D&gt;&lt;D xsi:type="xsd:double"&gt;-3252&lt;/D&gt;&lt;/FQL&gt;&lt;FQL&gt;&lt;Q&gt;GE-US^-FF_CAPEX_OTH(ANN_R,-9,0,Y,RP,USD,M)&lt;/Q&gt;&lt;R&gt;10&lt;/R&gt;&lt;C&gt;1&lt;/C&gt;&lt;D xsi:type="xsd:string"&gt;@NA&lt;/D&gt;&lt;D xsi:type="xsd:string"&gt;@NA&lt;/D&gt;&lt;D xsi:type="xsd:string"&gt;@NA&lt;/D&gt;&lt;D xsi:type="xsd:string"&gt;@NA&lt;/D&gt;&lt;D xsi:type="xsd:double"&gt;0&lt;/D&gt;&lt;D xsi:type="xsd:double"&gt;0&lt;/D&gt;&lt;D xsi:type="xsd:double"&gt;-549&lt;/D&gt;&lt;D xsi:type="xsd:double"&gt;-320&lt;/D&gt;&lt;D xsi:type="xsd:double"&gt;-282&lt;/D&gt;&lt;D xsi:type="xsd:double"&gt;-151&lt;/D&gt;&lt;/FQL&gt;&lt;FQL&gt;&lt;Q&gt;GE-US^(FF_CAPEX(ANN_R,-9,0,Y,RP,LOCAL,M)/FF_SALES(ANN_R,-9,0,Y,RP,LOCAL,M))*100&lt;/Q&gt;&lt;R&gt;10&lt;/R&gt;&lt;C&gt;1&lt;/C&gt;&lt;D xsi:type="xsd:double"&gt;8.86966155054305&lt;/D&gt;&lt;D xsi:type="xsd:double"&gt;10.4386352343621&lt;/D&gt;&lt;D xsi:type="xsd:double"&gt;9.4305114675524&lt;/D&gt;&lt;D xsi:type="xsd:double"&gt;6.09675847982703&lt;/D&gt;&lt;D xsi:type="xsd:double"&gt;6.3054280686014&lt;/D&gt;&lt;D xsi:type="xsd:double"&gt;6.00572291418132&lt;/D&gt;&lt;D xsi:type="xsd:double"&gt;6.6980709217459&lt;/D&gt;&lt;D xsi:type="xsd:double"&gt;7.05709061357172&lt;/D&gt;&lt;D xsi:type="xsd:double"&gt;6.41207721845247&lt;/D&gt;&lt;D xsi:type="xsd:double"&gt;4.25944701037638&lt;/D&gt;&lt;/FQL&gt;&lt;FQL&gt;&lt;Q&gt;GE-US^-FF_ACQ_BUS_CF(ANN_R,-9,0,Y,RP,USD,M)&lt;/Q&gt;&lt;R&gt;10&lt;/R&gt;&lt;C&gt;1&lt;/C&gt;&lt;D xsi:type="xsd:double"&gt;-11202&lt;/D&gt;&lt;D xsi:type="xsd:double"&gt;-1456&lt;/D&gt;&lt;D xsi:type="xsd:double"&gt;-1642&lt;/D&gt;&lt;D xsi:type="xsd:double"&gt;-2091&lt;/D&gt;&lt;D xsi:type="xsd:double"&gt;-12027&lt;/D&gt;&lt;D xsi:type="xsd:double"&gt;-2271&lt;/D&gt;&lt;D xsi:type="xsd:double"&gt;-6087&lt;/D&gt;&lt;D xsi:type="xsd:double"&gt;-1&lt;/D&gt;&lt;D xsi:type="xsd:double"&gt;-68&lt;/D&gt;&lt;D xsi:type="xsd:double"&gt;-85&lt;/D&gt;&lt;/FQL&gt;&lt;FQL&gt;&lt;Q&gt;GE-US^FF_SALE_ASSETS_BUS_CF(ANN_R,-9,0,Y,RP,USD,M)&lt;/Q&gt;&lt;R&gt;10&lt;/R&gt;&lt;C&gt;1&lt;/C&gt;&lt;D xsi:type="xsd:double"&gt;23723&lt;/D&gt;&lt;D xsi:type="xsd:double"&gt;10045&lt;/D&gt;&lt;D xsi:type="xsd:double"&gt;9735&lt;/D&gt;&lt;D xsi:type="xsd:double"&gt;3785&lt;/D&gt;&lt;D xsi:type="xsd:double"&gt;84918&lt;/D&gt;&lt;D xsi:type="xsd:double"&gt;69671&lt;/D&gt;&lt;D xsi:type="xsd:double"&gt;10438&lt;/D&gt;&lt;D xsi:type="xsd:double"&gt;12547&lt;/D&gt;&lt;D xsi:type="xsd:double"&gt;17648&lt;/D&gt;&lt;D xsi:type="xsd:double"&gt;22657&lt;/D&gt;&lt;/FQL&gt;&lt;FQL&gt;&lt;Q&gt;GE-US^FF_INVEST_PURCH_SALE_CF(ANN_R,-9,0,Y,RP,USD,M)&lt;/Q&gt;&lt;R&gt;10&lt;/R&gt;&lt;C&gt;1&lt;/C&gt;&lt;D xsi:type="xsd:double"&gt;0&lt;/D&gt;&lt;D xsi:type="xsd:double"&gt;0&lt;/D&gt;&lt;D xsi:type="xsd:double"&gt;16699&lt;/D&gt;&lt;D xsi:type="xsd:double"&gt;0&lt;/D&gt;&lt;D xsi:type="xsd:double"&gt;0&lt;/D&gt;&lt;D xsi:type="xsd:double"&gt;0&lt;/D&gt;&lt;D xsi:type="xsd:double"&gt;0&lt;/D&gt;&lt;D xsi:type="xsd:double"&gt;0&lt;/D&gt;&lt;D xsi:type="xsd:double"&gt;-1616&lt;/D&gt;&lt;D xsi:type="xsd:double"&gt;-1352&lt;/D&gt;&lt;/FQL&gt;&lt;FQL&gt;&lt;Q&gt;GE-US^FF_INVEST_PURCH_CF(ANN_R,-9,0,Y,RP,USD,M)&lt;/Q&gt;&lt;R&gt;10&lt;/R&gt;&lt;C&gt;1&lt;/C&gt;&lt;D xsi:type="xsd:double"&gt;0&lt;/D&gt;&lt;D xsi:type="xsd:double"&gt;0&lt;/D&gt;&lt;D xsi:type="xsd:string"&gt;@NA&lt;/D&gt;&lt;D xsi:type="xsd:double"&gt;0&lt;/D&gt;&lt;D xsi:type="xsd:double"&gt;0&lt;/D&gt;&lt;D xsi:type="xsd:double"&gt;0&lt;/D&gt;&lt;D xsi:type="xsd:double"&gt;0&lt;/D&gt;&lt;D xsi:type="xsd:double"&gt;0&lt;/D&gt;&lt;D xsi:type="xsd:double"&gt;1616&lt;/D&gt;&lt;D xsi:type="xsd:double"&gt;1352&lt;/D&gt;&lt;/FQL&gt;&lt;FQL&gt;&lt;Q&gt;GE-US^FF_INVEST_SALE_CF(ANN_R,-9,0,Y,RP,USD,M)&lt;/Q&gt;&lt;R&gt;10&lt;/R&gt;&lt;C&gt;1&lt;/C&gt;&lt;D xsi:type="xsd:double"&gt;0&lt;/D&gt;&lt;D xsi:type="xsd:double"&gt;0&lt;/D&gt;&lt;D xsi:type="xsd:double"&gt;16699&lt;/D&gt;&lt;D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xsi:type="xsd:double"&gt;0&lt;/D&gt;&lt;/FQL&gt;&lt;FQL&gt;&lt;Q&gt;GE-US^FF_INVEST_USES_CF(ANN_R,-9,0,Y,RP,USD,M)+'FF_INVEST_SOURCES_CF(ANN_R,-9,0,Y,RP,USD,M)&lt;/Q&gt;&lt;R&gt;10&lt;/R&gt;&lt;C&gt;1&lt;/C&gt;&lt;D xsi:type="xsd:double"&gt;20011&lt;/D&gt;&lt;D xsi:type="xsd:double"&gt;17839&lt;/D&gt;&lt;D xsi:type="xsd:double"&gt;17783&lt;/D&gt;&lt;D xsi:type="xsd:double"&gt;406&lt;/D&gt;&lt;D xsi:type="xsd:double"&gt;-6094&lt;/D&gt;&lt;D xsi:type="xsd:double"&gt;-10999&lt;/D&gt;&lt;D xsi:type="xsd:double"&gt;10133&lt;/D&gt;&lt;D xsi:type="xsd:double"&gt;12681&lt;/D&gt;&lt;D xsi:type="xsd:double"&gt;-930&lt;/D&gt;&lt;D xsi:type="xsd:double"&gt;-1175&lt;/D&gt;&lt;/FQL&gt;&lt;FQL&gt;&lt;Q&gt;GE-US^FF_INVEST_USES_CF(ANN_R,-9,0,Y,RP,USD,M)&lt;/Q&gt;&lt;R&gt;10&lt;/R&gt;&lt;C&gt;1&lt;/C&gt;&lt;D xsi:type="xsd:double"&gt;-735&lt;/D&gt;&lt;D xsi:type="xsd:double"&gt;-97&lt;/D&gt;&lt;D xsi:type="xsd:double"&gt;0&lt;/D&gt;&lt;D xsi:type="xsd:double"&gt;-24264&lt;/D&gt;&lt;D xsi:type="xsd:double"&gt;-7138&lt;/D&gt;&lt;D xsi:type="xsd:double"&gt;-13412&lt;/D&gt;&lt;D xsi:type="xsd:double"&gt;0&lt;/D&gt;&lt;D xsi:type="xsd:double"&gt;-645&lt;/D&gt;&lt;D xsi:type="xsd:double"&gt;-2047&lt;/D&gt;&lt;D xsi:type="xsd:double"&gt;-1175&lt;/D&gt;&lt;/FQL&gt;&lt;FQL&gt;&lt;Q&gt;GE-US^FF_INVEST_SOURCES_CF(ANN_R,-9,0,Y,RP,USD,M)&lt;/Q&gt;&lt;R&gt;10&lt;/R&gt;&lt;C&gt;1&lt;/C&gt;&lt;D xsi:type="xsd:double"&gt;20746&lt;/D&gt;&lt;D xsi:type="xsd:double"&gt;17936&lt;/D&gt;&lt;D xsi:type="xsd:double"&gt;17783&lt;/D&gt;&lt;D xsi:type="xsd:double"&gt;24670&lt;/D&gt;&lt;D xsi:type="xsd:double"&gt;1044&lt;/D&gt;&lt;D xsi:type="xsd:double"&gt;2413&lt;/D&gt;&lt;D xsi:type="xsd:double"&gt;10133&lt;/D&gt;&lt;D xsi:type="xsd:double"&gt;13326&lt;/D&gt;&lt;D xsi:type="xsd:double"&gt;1117&lt;/D&gt;&lt;D xsi:type="xsd:double"&gt;0&lt;/D&gt;&lt;/FQL&gt;&lt;FQL&gt;&lt;Q&gt;GE-US^FF_INVEST_CF(ANN_R,-9,0,Y,RP,USD,M)&lt;/Q&gt;&lt;R&gt;10&lt;/R&gt;&lt;C&gt;1&lt;/C&gt;&lt;D xsi:type="xsd:double"&gt;19882&lt;/D&gt;&lt;D xsi:type="xsd:double"&gt;11302&lt;/D&gt;&lt;D xsi:type="xsd:double"&gt;29117&lt;/D&gt;&lt;D xsi:type="xsd:double"&gt;-5034&lt;/D&gt;&lt;D xsi:type="xsd:double"&gt;59488&lt;/D&gt;&lt;D xsi:type="xsd:double"&gt;49202&lt;/D&gt;&lt;D xsi:type="xsd:double"&gt;6564&lt;/D&gt;&lt;D xsi:type="xsd:double"&gt;18280&lt;/D&gt;&lt;D xsi:type="xsd:double"&gt;8939&lt;/D&gt;&lt;D xsi:type="xsd:double"&gt;16642&lt;/D&gt;&lt;/FQL&gt;&lt;FQL&gt;&lt;Q&gt;GE-US^(FF_INVEST_CF(ANN_R,-9,0,Y,RP,LOCAL,M)/FF_SALES(ANN_R,-9,0,Y,RP,LOCAL,M))*100&lt;/Q&gt;&lt;R&gt;10&lt;/R&gt;&lt;C&gt;1&lt;/C&gt;&lt;D xsi:type="xsd:double"&gt;13.9404435531934&lt;/D&gt;&lt;D xsi:type="xsd:double"&gt;7.79964666261801&lt;/D&gt;&lt;D xsi:type="xsd:double"&gt;20.4033439144541&lt;/D&gt;&lt;D xsi:type="xsd:double"&gt;-4.30208609299821&lt;/D&gt;&lt;D xsi:type="xsd:double"&gt;51.3199213223369&lt;/D&gt;&lt;D xsi:type="xsd:double"&gt;41.0464757360118&lt;/D&gt;&lt;D xsi:type="xsd:double"&gt;5.55127999120455&lt;/D&gt;&lt;D xsi:type="xsd:double"&gt;18.5696871190573&lt;/D&gt;&lt;D xsi:type="xsd:double"&gt;9.40402924622587&lt;/D&gt;&lt;D xsi:type="xsd:double"&gt;20.8303606073123&lt;/D&gt;&lt;/FQL&gt;&lt;FQL&gt;&lt;Q&gt;GE-US^-FF_DIV_CF(ANN_R,-9,0,Y,RP,USD,M)&lt;/Q&gt;&lt;R&gt;10&lt;/R&gt;&lt;C&gt;1&lt;/C&gt;&lt;D xsi:type="xsd:double"&gt;-6458&lt;/D&gt;&lt;D xsi:type="xsd:double"&gt;-7189&lt;/D&gt;&lt;D xsi:type="xsd:double"&gt;-7821&lt;/D&gt;&lt;D xsi:type="xsd:double"&gt;-8852&lt;/D&gt;&lt;D xsi:type="xsd:double"&gt;-9295&lt;/D&gt;&lt;D xsi:type="xsd:double"&gt;-8806&lt;/D&gt;&lt;D xsi:type="xsd:double"&gt;-8650&lt;/D&gt;&lt;D xsi:type="xsd:double"&gt;-4474&lt;/D&gt;&lt;D xsi:type="xsd:double"&gt;-649&lt;/D&gt;&lt;D xsi:type="xsd:double"&gt;-648&lt;/D&gt;&lt;/FQL&gt;&lt;FQL&gt;&lt;Q&gt;GE-US^-FF_DIV_COM_CF(ANN_R,-9,0,Y,RP,USD,M)&lt;/Q&gt;&lt;R&gt;10&lt;/R&gt;&lt;C&gt;1&lt;/C&gt;&lt;D xsi:type="xsd:double"&gt;-6458&lt;/D&gt;&lt;D xsi:type="xsd:double"&gt;-7189&lt;/D&gt;&lt;D xsi:type="xsd:double"&gt;-7821&lt;/D&gt;&lt;D xsi:type="xsd:double"&gt;-8852&lt;/D&gt;&lt;D xsi:type="xsd:double"&gt;-9295&lt;/D&gt;&lt;D xsi:type="xsd:double"&gt;-8806&lt;/D&gt;&lt;D xsi:type="xsd:double"&gt;-8650&lt;/D&gt;&lt;D xsi:type="xsd:double"&gt;-4474&lt;/D&gt;&lt;D xsi:type="xsd:double"&gt;-649&lt;/D&gt;&lt;D xsi:type="xsd:double"&gt;-648&lt;/D&gt;&lt;/FQL&gt;&lt;FQL&gt;&lt;Q&gt;GE-US^-FF_DIV_PFD_CF(ANN_R,-9,0,Y,RP,USD,M)&lt;/Q&gt;&lt;R&gt;10&lt;/R&gt;&lt;C&gt;1&lt;/C&gt;&lt;D xsi:type="xsd:double"&gt;0&lt;/D&gt;&lt;D xsi:type="xsd:double"&gt;0&lt;/D&gt;&lt;D xsi:type="xsd:double"&gt;0&lt;/D&gt;&lt;D xsi:type="xsd:double"&gt;0&lt;/D&gt;&lt;D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xsi:type="xsd:string"&gt;@NA&lt;/D&gt;&lt;/FQL&gt;&lt;FQL&gt;&lt;Q&gt;GE-US^PCTCHG(FF_DIV_CF(ANN_R,-9,0,Y,RP,LOCAL,M),FF_DIV_CF(ANN_R,-1,0-1,Y,RP,LOCAL,M))&lt;/Q&gt;&lt;R&gt;10&lt;/R&gt;&lt;C&gt;1&lt;/C&gt;&lt;D xsi:type="xsd:double"&gt;895.06934&lt;/D&gt;&lt;D xsi:type="xsd:double"&gt;1007.70416&lt;/D&gt;&lt;D xsi:type="xsd:double"&gt;1105.0847&lt;/D&gt;&lt;D xsi:type="xsd:double"&gt;1263.9446&lt;/D&gt;&lt;D xsi:type="xsd:double"&gt;1332.2034&lt;/D&gt;&lt;D xsi:type="xsd:double"&gt;1256.8567&lt;/D&gt;&lt;D xsi:type="xsd:double"&gt;1232.8197&lt;/D&gt;&lt;D xsi:type="xsd:double"&gt;589.3683&lt;/D&gt;&lt;D xsi:type="xsd:double"&gt;0&lt;/D&gt;&lt;D xsi:type="xsd:double"&gt;-0.1540832&lt;/D&gt;&lt;/FQL&gt;&lt;FQL&gt;&lt;Q&gt;GE-US^FF_STK_CHG_CF(ANN_R,-9,0,Y,RP,USD,M)&lt;/Q&gt;&lt;R&gt;10&lt;/R&gt;&lt;C&gt;1&lt;/C&gt;&lt;D xsi:type="xsd:double"&gt;-1456&lt;/D&gt;&lt;D xsi:type="xsd:double"&gt;-204&lt;/D&gt;&lt;D xsi:type="xsd:double"&gt;-8288&lt;/D&gt;&lt;D xsi:type="xsd:double"&gt;-1218&lt;/D&gt;&lt;D xsi:type="xsd:double"&gt;-1099&lt;/D&gt;&lt;D xsi:type="xsd:double"&gt;-21429&lt;/D&gt;&lt;D xsi:type="xsd:double"&gt;-2550&lt;/D&gt;&lt;D xsi:type="xsd:double"&gt;-17&lt;/D&gt;&lt;D xsi:type="xsd:double"&gt;0&lt;/D&gt;&lt;D xsi:type="xsd:double"&gt;0&lt;/D&gt;&lt;/FQL&gt;&lt;FQL&gt;&lt;Q&gt;GE-US^-FF_STK_PURCH_CF(ANN_R,-9,0,Y,RP,USD,M)&lt;/Q&gt;&lt;R&gt;10&lt;/R&gt;&lt;C&gt;1&lt;/C&gt;&lt;D xsi:type="xsd:double"&gt;-1456&lt;/D&gt;&lt;D xsi:type="xsd:double"&gt;-4164&lt;/D&gt;&lt;D xsi:type="xsd:double"&gt;-9278&lt;/D&gt;&lt;D xsi:type="xsd:double"&gt;-1218&lt;/D&gt;&lt;D xsi:type="xsd:double"&gt;-1099&lt;/D&gt;&lt;D xsi:type="xsd:double"&gt;-21429&lt;/D&gt;&lt;D xsi:type="xsd:double"&gt;-2550&lt;/D&gt;&lt;D xsi:type="xsd:double"&gt;-17&lt;/D&gt;&lt;D xsi:type="xsd:double"&gt;0&lt;/D&gt;&lt;D xsi:type="xsd:double"&gt;0&lt;/D&gt;&lt;/FQL&gt;&lt;FQL&gt;&lt;Q&gt;GE-US^FF_STK_SALE_CF(ANN_R,-9,0,Y,RP,USD,M)&lt;/Q&gt;&lt;R&gt;10&lt;/R&gt;&lt;C&gt;1&lt;/C&gt;&lt;D xsi:type="xsd:double"&gt;0&lt;/D&gt;&lt;D xsi:type="xsd:double"&gt;3960&lt;/D&gt;&lt;D xsi:type="xsd:double"&gt;990&lt;/D&gt;&lt;D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xsi:type="xsd:double"&gt;0&lt;/D&gt;&lt;/FQL&gt;&lt;FQL&gt;&lt;Q&gt;GE-US^FF_STK_SALE_XOPT_CF(ANN_R,-9,0,Y,RP,USD,M)&lt;/Q&gt;&lt;R&gt;10&lt;/R&gt;&lt;C&gt;1&lt;/C&gt;&lt;D xsi:type="xsd:double"&gt;0&lt;/D&gt;&lt;D xsi:type="xsd:double"&gt;3960&lt;/D&gt;&lt;D xsi:type="xsd:double"&gt;990&lt;/D&gt;&lt;D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xsi:type="xsd:double"&gt;0&lt;/D&gt;&lt;/FQL&gt;&lt;FQL&gt;&lt;Q&gt;GE-US^FF_OPT_WRNT_CF(ANN_R,-9,0,Y,RP,USD,M)&lt;/Q&gt;&lt;R&gt;10&lt;/R&gt;&lt;C&gt;1&lt;/C&gt;&lt;D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xsi:type="xsd:double"&gt;0&lt;/D&gt;&lt;/FQL&gt;&lt;FQL&gt;&lt;Q&gt;GE-US^FF_DEBT_CF(ANN_R,-9,0,Y,RP,USD,M)&lt;/Q&gt;&lt;R&gt;10&lt;/R&gt;&lt;C&gt;1&lt;/C&gt;&lt;D xsi:type="xsd:double"&gt;-35908&lt;/D&gt;&lt;D xsi:type="xsd:double"&gt;-40722&lt;/D&gt;&lt;D xsi:type="xsd:double"&gt;-28102&lt;/D&gt;&lt;D xsi:type="xsd:double"&gt;-30190&lt;/D&gt;&lt;D xsi:type="xsd:double"&gt;-57546&lt;/D&gt;&lt;D xsi:type="xsd:double"&gt;-58411&lt;/D&gt;&lt;D xsi:type="xsd:double"&gt;-8952&lt;/D&gt;&lt;D xsi:type="xsd:double"&gt;-21542&lt;/D&gt;&lt;D xsi:type="xsd:double"&gt;-14102&lt;/D&gt;&lt;D xsi:type="xsd:double"&gt;-19016&lt;/D&gt;&lt;/FQL&gt;&lt;FQL&gt;&lt;Q&gt;GE-US^FF_DEBT_ST_CF(ANN_R,-9,0,Y,RP,USD,M)&lt;/Q&gt;&lt;R&gt;10&lt;/R&gt;&lt;C&gt;1&lt;/C&gt;&lt;D xsi:type="xsd:double"&gt;5951&lt;/D&gt;&lt;D xsi:type="xsd:double"&gt;-2231&lt;/D&gt;&lt;D xsi:type="xsd:double"&gt;-14230&lt;/D&gt;&lt;D xsi:type="xsd:double"&gt;-6409&lt;/D&gt;&lt;D xsi:type="xsd:double"&gt;-24459&lt;/D&gt;&lt;D xsi:type="xsd:double"&gt;-1135&lt;/D&gt;&lt;D xsi:type="xsd:double"&gt;1794&lt;/D&gt;&lt;D xsi:type="xsd:double"&gt;-4343&lt;/D&gt;&lt;D xsi:type="xsd:double"&gt;280&lt;/D&gt;&lt;D xsi:type="xsd:double"&gt;-4168&lt;/D&gt;&lt;/FQL&gt;&lt;FQL&gt;&lt;Q&gt;GE-US^FF_DEBT_LT_CF(ANN_R,-9,0,Y,RP,USD,M)&lt;/Q&gt;&lt;R&gt;10&lt;/R&gt;&lt;C&gt;1&lt;/C&gt;&lt;D xsi:type="xsd:double"&gt;-41859&lt;/D&gt;&lt;D xsi:type="xsd:double"&gt;-38491&lt;/D&gt;&lt;D xsi:type="xsd:double"&gt;-13872&lt;/D&gt;&lt;D xsi:type="xsd:double"&gt;-23781&lt;/D&gt;&lt;D xsi:type="xsd:double"&gt;-33087&lt;/D&gt;&lt;D xsi:type="xsd:double"&gt;-57276&lt;/D&gt;&lt;D xsi:type="xsd:double"&gt;-10746&lt;/D&gt;&lt;D xsi:type="xsd:double"&gt;-17199&lt;/D&gt;&lt;D xsi:type="xsd:double"&gt;-14382&lt;/D&gt;&lt;D xsi:type="xsd:double"&gt;-14848&lt;/D&gt;&lt;/FQL&gt;&lt;FQL&gt;&lt;Q&gt;GE-US^FF_DEBT_LT_ISS_CF(ANN_R,-9,0,Y,RP,USD,M)&lt;/Q&gt;&lt;R&gt;10&lt;/R&gt;&lt;C&gt;1&lt;/C&gt;&lt;D xsi:type="xsd:double"&gt;43847&lt;/D&gt;&lt;D xsi:type="xsd:double"&gt;65451&lt;/D&gt;&lt;D xsi:type="xsd:double"&gt;47589&lt;/D&gt;&lt;D xsi:type="xsd:double"&gt;14629&lt;/D&gt;&lt;D xsi:type="xsd:double"&gt;13951&lt;/D&gt;&lt;D xsi:type="xsd:double"&gt;1492&lt;/D&gt;&lt;D xsi:type="xsd:double"&gt;14876&lt;/D&gt;&lt;D xsi:type="xsd:double"&gt;3120&lt;/D&gt;&lt;D xsi:type="xsd:double"&gt;2185&lt;/D&gt;&lt;D xsi:type="xsd:double"&gt;15028&lt;/D&gt;&lt;/FQL&gt;&lt;FQL&gt;&lt;Q&gt;GE-US^-FF_DEBT_LT_REDUCT_CF(ANN_R,-9,0,Y,RP,USD,M)&lt;/Q&gt;&lt;R&gt;10&lt;/R&gt;&lt;C&gt;1&lt;/C&gt;&lt;D xsi:type="xsd:double"&gt;-85706&lt;/D&gt;&lt;D xsi:type="xsd:double"&gt;-103942&lt;/D&gt;&lt;D xsi:type="xsd:double"&gt;-61461&lt;/D&gt;&lt;D xsi:type="xsd:double"&gt;-38410&lt;/D&gt;&lt;D xsi:type="xsd:double"&gt;-47038&lt;/D&gt;&lt;D xsi:type="xsd:double"&gt;-58768&lt;/D&gt;&lt;D xsi:type="xsd:double"&gt;-25622&lt;/D&gt;&lt;D xsi:type="xsd:double"&gt;-20319&lt;/D&gt;&lt;D xsi:type="xsd:double"&gt;-16567&lt;/D&gt;&lt;D xsi:type="xsd:double"&gt;-29876&lt;/D&gt;&lt;/FQL&gt;&lt;FQL&gt;&lt;Q&gt;GE-US^FF_FIN_ACTIV_OTH_CF(ANN_R,-9,0,Y,RP,USD,M)&lt;/Q&gt;&lt;R&gt;10&lt;/R&gt;&lt;C&gt;1&lt;/C&gt;&lt;D xsi:type="xsd:double"&gt;-3041&lt;/D&gt;&lt;D xsi:type="xsd:double"&gt;-2959&lt;/D&gt;&lt;D xsi:type="xsd:double"&gt;-1362&lt;/D&gt;&lt;D xsi:type="xsd:double"&gt;23304&lt;/D&gt;&lt;D xsi:type="xsd:double"&gt;-8114&lt;/D&gt;&lt;D xsi:type="xsd:double"&gt;-485&lt;/D&gt;&lt;D xsi:type="xsd:double"&gt;1006&lt;/D&gt;&lt;D xsi:type="xsd:double"&gt;-5774&lt;/D&gt;&lt;D xsi:type="xsd:double"&gt;-1382&lt;/D&gt;&lt;D xsi:type="xsd:double"&gt;-188&lt;/D&gt;&lt;/FQL&gt;&lt;FQL&gt;&lt;Q&gt;GE-US^-FF_FIN_USES_CF(ANN_R,-9,0,Y,RP,USD,M)&lt;/Q&gt;&lt;R&gt;10&lt;/R&gt;&lt;C&gt;1&lt;/C&gt;&lt;D xsi:type="xsd:double"&gt;-9789&lt;/D&gt;&lt;D xsi:type="xsd:double"&gt;-2959&lt;/D&gt;&lt;D xsi:type="xsd:double"&gt;-1418&lt;/D&gt;&lt;D xsi:type="xsd:double"&gt;-652&lt;/D&gt;&lt;D xsi:type="xsd:double"&gt;-8114&lt;/D&gt;&lt;D xsi:type="xsd:double"&gt;-1274&lt;/D&gt;&lt;D xsi:type="xsd:double"&gt;-903&lt;/D&gt;&lt;D xsi:type="xsd:double"&gt;-5774&lt;/D&gt;&lt;D xsi:type="xsd:double"&gt;-1382&lt;/D&gt;&lt;D xsi:type="xsd:double"&gt;-189&lt;/D&gt;&lt;/FQL&gt;&lt;FQL&gt;&lt;Q&gt;GE-US^FF_FIN_SOURCES_CF(ANN_R,-9,0,Y,RP,USD,M)&lt;/Q&gt;&lt;R&gt;10&lt;/R&gt;&lt;C&gt;1&lt;/C&gt;&lt;D xsi:type="xsd:double"&gt;6748&lt;/D&gt;&lt;D xsi:type="xsd:double"&gt;0&lt;/D&gt;&lt;D xsi:type="xsd:double"&gt;56&lt;/D&gt;&lt;D xsi:type="xsd:double"&gt;23956&lt;/D&gt;&lt;D xsi:type="xsd:double"&gt;0&lt;/D&gt;&lt;D xsi:type="xsd:double"&gt;789&lt;/D&gt;&lt;D xsi:type="xsd:double"&gt;1909&lt;/D&gt;&lt;D xsi:type="xsd:double"&gt;0&lt;/D&gt;&lt;D xsi:type="xsd:double"&gt;0&lt;/D&gt;&lt;D xsi:type="xsd:double"&gt;1&lt;/D&gt;&lt;/FQL&gt;&lt;FQL&gt;&lt;Q&gt;GE-US^FF_FIN_CF(ANN_R,-9,0,Y,RP,USD,M)&lt;/Q&gt;&lt;R&gt;10&lt;/R&gt;&lt;C&gt;1&lt;/C&gt;&lt;D xsi:type="xsd:double"&gt;-46863&lt;/D&gt;&lt;D xsi:type="xsd:double"&gt;-51074&lt;/D&gt;&lt;D xsi:type="xsd:double"&gt;-45573&lt;/D&gt;&lt;D xsi:type="xsd:double"&gt;-16956&lt;/D&gt;&lt;D xsi:type="xsd:double"&gt;-76054&lt;/D&gt;&lt;D xsi:type="xsd:double"&gt;-89131&lt;/D&gt;&lt;D xsi:type="xsd:double"&gt;-19146&lt;/D&gt;&lt;D xsi:type="xsd:double"&gt;-31807&lt;/D&gt;&lt;D xsi:type="xsd:double"&gt;-16133&lt;/D&gt;&lt;D xsi:type="xsd:double"&gt;-19852&lt;/D&gt;&lt;/FQL&gt;&lt;FQL&gt;&lt;Q&gt;GE-US^(FF_FIN_CF(ANN_R,-9,0,Y,RP,LOCAL,M)/FF_SALES(ANN_R,-9,0,Y,RP,LOCAL,M))*100&lt;/Q&gt;&lt;R&gt;10&lt;/R&gt;&lt;C&gt;1&lt;/C&gt;&lt;D xsi:type="xsd:double"&gt;-32.8584149599288&lt;/D&gt;&lt;D xsi:type="xsd:double"&gt;-35.2467840777342&lt;/D&gt;&lt;D xsi:type="xsd:double"&gt;-31.9346633311611&lt;/D&gt;&lt;D xsi:type="xsd:double"&gt;-14.4906976147949&lt;/D&gt;&lt;D xsi:type="xsd:double"&gt;-65.6113047379137&lt;/D&gt;&lt;D xsi:type="xsd:double"&gt;-74.3570063986519&lt;/D&gt;&lt;D xsi:type="xsd:double"&gt;-16.1920790237054&lt;/D&gt;&lt;D xsi:type="xsd:double"&gt;-32.3110524177164&lt;/D&gt;&lt;D xsi:type="xsd:double"&gt;-16.972279206775&lt;/D&gt;&lt;D xsi:type="xsd:double"&gt;-24.848234513662&lt;/D&gt;&lt;/FQL&gt;&lt;FQL&gt;&lt;Q&gt;GE-US^FF_FOR_EXCH_CF(ANN_R,-9,0,Y,RP,USD,M)&lt;/Q&gt;&lt;R&gt;10&lt;/R&gt;&lt;C&gt;1&lt;/C&gt;&lt;D xsi:type="xsd:double"&gt;-841&lt;/D&gt;&lt;D xsi:type="xsd:double"&gt;1278&lt;/D&gt;&lt;D xsi:type="xsd:double"&gt;-795&lt;/D&gt;&lt;D xsi:type="xsd:double"&gt;-3495&lt;/D&gt;&lt;D xsi:type="xsd:double"&gt;-3463&lt;/D&gt;&lt;D xsi:type="xsd:double"&gt;-1148&lt;/D&gt;&lt;D xsi:type="xsd:double"&gt;890&lt;/D&gt;&lt;D xsi:type="xsd:double"&gt;-628&lt;/D&gt;&lt;D xsi:type="xsd:double"&gt;-50&lt;/D&gt;&lt;D xsi:type="xsd:double"&gt;145&lt;/D&gt;&lt;/FQL&gt;&lt;FQL&gt;&lt;Q&gt;GE-US^FF_MISC_FUNDS_CF(ANN_R,-9,0,Y,RP,USD,M)&lt;/Q&gt;&lt;R&gt;10&lt;/R&gt;&lt;C&gt;1&lt;/C&gt;&lt;D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xsi:type="xsd:double"&gt;0&lt;/D&gt;&lt;/FQL&gt;&lt;FQL&gt;&lt;Q&gt;GE-US^FF_CHG_CASH_CF(ANN_R,-9,0,Y,RP,USD,M)&lt;/Q&gt;&lt;R&gt;10&lt;/R&gt;&lt;C&gt;1&lt;/C&gt;&lt;D xsi:type="xsd:double"&gt;5537&lt;/D&gt;&lt;D xsi:type="xsd:double"&gt;-7163&lt;/D&gt;&lt;D xsi:type="xsd:double"&gt;11328&lt;/D&gt;&lt;D xsi:type="xsd:double"&gt;2224&lt;/D&gt;&lt;D xsi:type="xsd:double"&gt;-138&lt;/D&gt;&lt;D xsi:type="xsd:double"&gt;-41321&lt;/D&gt;&lt;D xsi:type="xsd:double"&gt;-5660&lt;/D&gt;&lt;D xsi:type="xsd:double"&gt;-9177&lt;/D&gt;&lt;D xsi:type="xsd:double"&gt;1528&lt;/D&gt;&lt;D xsi:type="xsd:double"&gt;532&lt;/D&gt;&lt;/FQL&gt;&lt;FQL&gt;&lt;Q&gt;GE-US^FF_FREE_CF(ANN_R+"_FCFE",-9,0,Y,RP,USD,M)&lt;/Q&gt;&lt;R&gt;10&lt;/R&gt;&lt;C&gt;1&lt;/C&gt;&lt;D xsi:type="xsd:double"&gt;20709&lt;/D&gt;&lt;D xsi:type="xsd:double"&gt;16205&lt;/D&gt;&lt;D xsi:type="xsd:double"&gt;15121&lt;/D&gt;&lt;D xsi:type="xsd:double"&gt;20575&lt;/D&gt;&lt;D xsi:type="xsd:double"&gt;12582&lt;/D&gt;&lt;D xsi:type="xsd:double"&gt;-7443&lt;/D&gt;&lt;D xsi:type="xsd:double"&gt;-1339&lt;/D&gt;&lt;D xsi:type="xsd:double"&gt;-1649&lt;/D&gt;&lt;D xsi:type="xsd:double"&gt;2959&lt;/D&gt;&lt;D xsi:type="xsd:double"&gt;345&lt;/D&gt;&lt;/FQL&gt;&lt;FQL&gt;&lt;Q&gt;GE-US^FF_FREE_PS_CF(ANN_R+"_FCFE",-9,0,Y,RP,USD,M)&lt;/Q&gt;&lt;R&gt;10&lt;/R&gt;&lt;C&gt;1&lt;/C&gt;&lt;D xsi:type="xsd:double"&gt;1.95&lt;/D&gt;&lt;D xsi:type="xsd:double"&gt;1.53398333964407&lt;/D&gt;&lt;D xsi:type="xsd:double"&gt;1.46962775779959&lt;/D&gt;&lt;D xsi:type="xsd:double"&gt;2.03250024696236&lt;/D&gt;&lt;D xsi:type="xsd:double"&gt;1.25619009584665&lt;/D&gt;&lt;D xsi:type="xsd:double"&gt;-0.815224534501643&lt;/D&gt;&lt;D xsi:type="xsd:double"&gt;-0.154138367675837&lt;/D&gt;&lt;D xsi:type="xsd:double"&gt;-0.189736509032332&lt;/D&gt;&lt;D xsi:type="xsd:double"&gt;0.339179275561669&lt;/D&gt;&lt;D xsi:type="xsd:double"&gt;0.0393790663166305&lt;/D&gt;&lt;/FQL&gt;&lt;FQL&gt;&lt;Q&gt;GE-US^FF_FCF_YLD(ANN_R+"_FCFE",-9,0,Y,RP,LOCAL,M)&lt;/Q&gt;&lt;R&gt;10&lt;/R&gt;&lt;C&gt;1&lt;/C&gt;&lt;D xsi:type="xsd:double"&gt;10.8877721943049&lt;/D&gt;&lt;D xsi:type="xsd:double"&gt;7.30816264718473&lt;/D&gt;&lt;D xsi:type="xsd:double"&gt;5.243053006777&lt;/D&gt;&lt;D xsi:type="xsd:double"&gt;8.04313512846206&lt;/D&gt;&lt;D xsi:type="xsd:double"&gt;4.03271298827174&lt;/D&gt;&lt;D xsi:type="xsd:double"&gt;-2.57982447627102&lt;/D&gt;&lt;D xsi:type="xsd:double"&gt;-0.883314427941762&lt;/D&gt;&lt;D xsi:type="xsd:double"&gt;-2.50642680359752&lt;/D&gt;&lt;D xsi:type="xsd:double"&gt;3.03924082044506&lt;/D&gt;&lt;D xsi:type="xsd:double"&gt;0.364620984413246&lt;/D&gt;&lt;/FQL&gt;&lt;FQL&gt;&lt;Q&gt;GE-US^FF_RESTATE_IND(ANN,-9,0,Y,RP,USD)&lt;/Q&gt;&lt;R&gt;1&lt;/R&gt;&lt;C&gt;1&lt;/C&gt;&lt;D xsi:type="xsd:string" /&gt;&lt;/FQL&gt;&lt;FQL&gt;&lt;Q&gt;GE-US^FF_CASH_ST(ANN_R,-9,0,Y,RP,USD,M)&lt;/Q&gt;&lt;R&gt;10&lt;/R&gt;&lt;C&gt;1&lt;/C&gt;&lt;D xsi:type="xsd:double"&gt;84501&lt;/D&gt;&lt;D xsi:type="xsd:double"&gt;77356&lt;/D&gt;&lt;D xsi:type="xsd:double"&gt;88555&lt;/D&gt;&lt;D xsi:type="xsd:double"&gt;70025&lt;/D&gt;&lt;D xsi:type="xsd:double"&gt;70483&lt;/D&gt;&lt;D xsi:type="xsd:double"&gt;48129&lt;/D&gt;&lt;D xsi:type="xsd:double"&gt;43967&lt;/D&gt;&lt;D xsi:type="xsd:double"&gt;31124&lt;/D&gt;&lt;D xsi:type="xsd:double"&gt;45699&lt;/D&gt;&lt;D xsi:type="xsd:double"&gt;43949&lt;/D&gt;&lt;/FQL&gt;&lt;FQL&gt;&lt;Q&gt;GE-US^FF_CASH_ONLY(ANN_R,-9,0,Y,RP,USD,M)&lt;/Q&gt;&lt;R&gt;10&lt;/R&gt;&lt;C&gt;1&lt;/C&gt;&lt;D xsi:type="xsd:double"&gt;84501&lt;/D&gt;&lt;D xsi:type="xsd:double"&gt;77356&lt;/D&gt;&lt;D xsi:type="xsd:double"&gt;88555&lt;/D&gt;&lt;D xsi:type="xsd:double"&gt;70025&lt;/D&gt;&lt;D xsi:type="xsd:double"&gt;70483&lt;/D&gt;&lt;D xsi:type="xsd:double"&gt;48129&lt;/D&gt;&lt;D xsi:type="xsd:double"&gt;43967&lt;/D&gt;&lt;D xsi:type="xsd:double"&gt;31124&lt;/D&gt;&lt;D xsi:type="xsd:double"&gt;35811&lt;/D&gt;&lt;D xsi:type="xsd:double"&gt;36630&lt;/D&gt;&lt;/FQL&gt;&lt;FQL&gt;&lt;Q&gt;GE-US^FF_INVEST_ST_OTH(ANN_R,-9,0,Y,RP,USD,M)&lt;/Q&gt;&lt;R&gt;10&lt;/R&gt;&lt;C&gt;1&lt;/C&gt;&lt;D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xsi:type="xsd:double"&gt;9888&lt;/D&gt;&lt;D xsi:type="xsd:double"&gt;7319&lt;/D&gt;&lt;/FQL&gt;&lt;FQL&gt;&lt;Q&gt;GE-US^PCTCHG(FF_CASH_ST(ANN_R,-9,0,Y,RP,LOCAL,M),FF_CASH_ST(ANN_R,-9-1,0-1,Y,RP,LOCAL,M))&lt;/Q&gt;&lt;R&gt;10&lt;/R&gt;&lt;C&gt;1&lt;/C&gt;&lt;D xsi:type="xsd:double"&gt;7.020188&lt;/D&gt;&lt;D xsi:type="xsd:double"&gt;-8.455522&lt;/D&gt;&lt;D xsi:type="xsd:double"&gt;14.477222&lt;/D&gt;&lt;D xsi:type="xsd:double"&gt;-20.924849&lt;/D&gt;&lt;D xsi:type="xsd:double"&gt;0.65405214&lt;/D&gt;&lt;D xsi:type="xsd:double"&gt;-31.715448&lt;/D&gt;&lt;D xsi:type="xsd:double"&gt;-8.647593&lt;/D&gt;&lt;D xsi:type="xsd:double"&gt;-29.210545&lt;/D&gt;&lt;D xsi:type="xsd:double"&gt;46.828815&lt;/D&gt;&lt;D xsi:type="xsd:double"&gt;-3.8294055&lt;/D&gt;&lt;/FQL&gt;&lt;FQL&gt;&lt;Q&gt;GE-US^FF_CASH_ASSETS(ANN_R,-9,0,Y,RP)&lt;/Q&gt;&lt;R&gt;10&lt;/R&gt;&lt;C&gt;1&lt;/C&gt;&lt;D xsi:type="xsd:double"&gt;11.297982431511&lt;/D&gt;&lt;D xsi:type="xsd:double"&gt;10.7849616177164&lt;/D&gt;&lt;D xsi:type="xsd:double"&gt;12.9316450372594&lt;/D&gt;&lt;D xsi:type="xsd:double"&gt;10.3470644037343&lt;/D&gt;&lt;D xsi:type="xsd:double"&gt;13.6820874777734&lt;/D&gt;&lt;D xsi:type="xsd:double"&gt;12.3550567451078&lt;/D&gt;&lt;D xsi:type="xsd:double"&gt;11.4911856566&lt;/D&gt;&lt;D xsi:type="xsd:double"&gt;9.7369606567224&lt;/D&gt;&lt;D xsi:type="xsd:double"&gt;17.1365252216172&lt;/D&gt;&lt;D xsi:type="xsd:double"&gt;17.2315232307391&lt;/D&gt;&lt;/FQL&gt;&lt;FQL&gt;&lt;Q&gt;GE-US^FF_RECEIV_ST(ANN_R,-9,0,Y,RP,USD,M)&lt;/Q&gt;&lt;R&gt;10&lt;/R&gt;&lt;C&gt;1&lt;/C&gt;&lt;D xsi:type="xsd:double"&gt;307470&lt;/D&gt;&lt;D xsi:type="xsd:double"&gt;287489&lt;/D&gt;&lt;D xsi:type="xsd:double"&gt;272442&lt;/D&gt;&lt;D xsi:type="xsd:double"&gt;42943&lt;/D&gt;&lt;D xsi:type="xsd:double"&gt;45856&lt;/D&gt;&lt;D xsi:type="xsd:double"&gt;42262&lt;/D&gt;&lt;D xsi:type="xsd:double"&gt;40846&lt;/D&gt;&lt;D xsi:type="xsd:double"&gt;29487&lt;/D&gt;&lt;D xsi:type="xsd:double"&gt;27670&lt;/D&gt;&lt;D xsi:type="xsd:double"&gt;27051&lt;/D&gt;&lt;/FQL&gt;&lt;FQL&gt;&lt;Q&gt;GE-US^FF_RECEIV_NET(ANN_R,-9,0,Y,RP,USD,M)&lt;/Q&gt;&lt;R&gt;10&lt;/R&gt;&lt;C&gt;1&lt;/C&gt;&lt;D xsi:type="xsd:double"&gt;299909&lt;/D&gt;&lt;D xsi:type="xsd:double"&gt;279528&lt;/D&gt;&lt;D xsi:type="xsd:double"&gt;263328&lt;/D&gt;&lt;D xsi:type="xsd:double"&gt;36682&lt;/D&gt;&lt;D xsi:type="xsd:double"&gt;39074&lt;/D&gt;&lt;D xsi:type="xsd:double"&gt;36318&lt;/D&gt;&lt;D xsi:type="xsd:double"&gt;34545&lt;/D&gt;&lt;D xsi:type="xsd:double"&gt;22344&lt;/D&gt;&lt;D xsi:type="xsd:double"&gt;25035&lt;/D&gt;&lt;D xsi:type="xsd:double"&gt;23720&lt;/D&gt;&lt;/FQL&gt;&lt;FQL&gt;&lt;Q&gt;GE-US^FF_RECEIV_GROSS(ANN_R,-9,0,Y,RP,USD,M)&lt;/Q&gt;&lt;R&gt;10&lt;/R&gt;&lt;C&gt;1&lt;/C&gt;&lt;D xsi:type="xsd:double"&gt;300361&lt;/D&gt;&lt;D xsi:type="xsd:double"&gt;279990&lt;/D&gt;&lt;D xsi:type="xsd:double"&gt;263775&lt;/D&gt;&lt;D xsi:type="xsd:double"&gt;37177&lt;/D&gt;&lt;D xsi:type="xsd:double"&gt;39589&lt;/D&gt;&lt;D xsi:type="xsd:double"&gt;37176&lt;/D&gt;&lt;D xsi:type="xsd:double"&gt;35618&lt;/D&gt;&lt;D xsi:type="xsd:double"&gt;23676&lt;/D&gt;&lt;D xsi:type="xsd:double"&gt;26781&lt;/D&gt;&lt;D xsi:type="xsd:double"&gt;24884&lt;/D&gt;&lt;/FQL&gt;&lt;FQL&gt;&lt;Q&gt;GE-US^-FF_BDEBT(ANN_R,-9,0,Y,RP,USD,M)&lt;/Q&gt;&lt;R&gt;10&lt;/R&gt;&lt;C&gt;1&lt;/C&gt;&lt;D xsi:type="xsd:double"&gt;-452&lt;/D&gt;&lt;D xsi:type="xsd:double"&gt;-462&lt;/D&gt;&lt;D xsi:type="xsd:double"&gt;-447&lt;/D&gt;&lt;D xsi:type="xsd:double"&gt;-495&lt;/D&gt;&lt;D xsi:type="xsd:double"&gt;-515&lt;/D&gt;&lt;D xsi:type="xsd:double"&gt;-858&lt;/D&gt;&lt;D xsi:type="xsd:double"&gt;-1073&lt;/D&gt;&lt;D xsi:type="xsd:double"&gt;-1332&lt;/D&gt;&lt;D xsi:type="xsd:double"&gt;-1746&lt;/D&gt;&lt;D xsi:type="xsd:double"&gt;-1164&lt;/D&gt;&lt;/FQL&gt;&lt;FQL&gt;&lt;Q&gt;GE-US^FF_RECEIV_ST_OTH(ANN_R,-9,0,Y,RP,USD,M)&lt;/Q&gt;&lt;R&gt;10&lt;/R&gt;&lt;C&gt;1&lt;/C&gt;&lt;D xsi:type="xsd:double"&gt;7561&lt;/D&gt;&lt;D xsi:type="xsd:double"&gt;7961&lt;/D&gt;&lt;D xsi:type="xsd:double"&gt;9114&lt;/D&gt;&lt;D xsi:type="xsd:double"&gt;6261&lt;/D&gt;&lt;D xsi:type="xsd:double"&gt;6782&lt;/D&gt;&lt;D xsi:type="xsd:double"&gt;5944&lt;/D&gt;&lt;D xsi:type="xsd:double"&gt;6301&lt;/D&gt;&lt;D xsi:type="xsd:double"&gt;7143&lt;/D&gt;&lt;D xsi:type="xsd:double"&gt;2635&lt;/D&gt;&lt;D xsi:type="xsd:double"&gt;3331&lt;/D&gt;&lt;/FQL&gt;&lt;FQL&gt;&lt;Q&gt;GE-US^PCTCHG(FF_RECEIV_ST(ANN_R,-9,0,Y,RP,LOCAL,M),FF_RECEIV_ST(ANN_R,-9-1,0-1,Y,RP,LOCAL,M))&lt;/Q&gt;&lt;R&gt;10&lt;/R&gt;&lt;C&gt;1&lt;/C&gt;&lt;D xsi:type="xsd:double"&gt;-8.932046&lt;/D&gt;&lt;D xsi:type="xsd:double"&gt;-6.4985204&lt;/D&gt;&lt;D xsi:type="xsd:double</t>
        </r>
      </text>
    </comment>
    <comment ref="A3" authorId="0" shapeId="0">
      <text>
        <r>
          <rPr>
            <sz val="10"/>
            <rFont val="Arial"/>
            <family val="2"/>
          </rPr>
          <t>"&gt;-5.233939&lt;/D&gt;&lt;D xsi:type="xsd:double"&gt;-84.23775&lt;/D&gt;&lt;D xsi:type="xsd:double"&gt;6.7834105&lt;/D&gt;&lt;D xsi:type="xsd:double"&gt;-7.8375783&lt;/D&gt;&lt;D xsi:type="xsd:double"&gt;-3.3505278&lt;/D&gt;&lt;D xsi:type="xsd:double"&gt;-27.809332&lt;/D&gt;&lt;D xsi:type="xsd:double"&gt;-6.1620374&lt;/D&gt;&lt;D xsi:type="xsd:double"&gt;-2.2370799&lt;/D&gt;&lt;/FQL&gt;&lt;FQL&gt;&lt;Q&gt;GE-US^FF_INVEN(ANN_R,-9,0,Y,RP,USD,M)&lt;/Q&gt;&lt;R&gt;10&lt;/R&gt;&lt;C&gt;1&lt;/C&gt;&lt;D xsi:type="xsd:double"&gt;13792&lt;/D&gt;&lt;D xsi:type="xsd:double"&gt;15374&lt;/D&gt;&lt;D xsi:type="xsd:double"&gt;17325&lt;/D&gt;&lt;D xsi:type="xsd:double"&gt;17689&lt;/D&gt;&lt;D xsi:type="xsd:double"&gt;22515&lt;/D&gt;&lt;D xsi:type="xsd:double"&gt;22354&lt;/D&gt;&lt;D xsi:type="xsd:double"&gt;19419&lt;/D&gt;&lt;D xsi:type="xsd:double"&gt;13803&lt;/D&gt;&lt;D xsi:type="xsd:double"&gt;17215&lt;/D&gt;&lt;D xsi:type="xsd:double"&gt;15890&lt;/D&gt;&lt;/FQL&gt;&lt;FQL&gt;&lt;Q&gt;GE-US^FF_INVEN_FG(ANN_R,-9,0,Y,RP,USD,M)&lt;/Q&gt;&lt;R&gt;10&lt;/R&gt;&lt;C&gt;1&lt;/C&gt;&lt;D xsi:type="xsd:double"&gt;5022&lt;/D&gt;&lt;D xsi:type="xsd:double"&gt;6099&lt;/D&gt;&lt;D xsi:type="xsd:double"&gt;6794&lt;/D&gt;&lt;D xsi:type="xsd:double"&gt;7032&lt;/D&gt;&lt;D xsi:type="xsd:double"&gt;8265&lt;/D&gt;&lt;D xsi:type="xsd:double"&gt;8798&lt;/D&gt;&lt;D xsi:type="xsd:double"&gt;8847&lt;/D&gt;&lt;D xsi:type="xsd:double"&gt;5746&lt;/D&gt;&lt;D xsi:type="xsd:double"&gt;5333&lt;/D&gt;&lt;D xsi:type="xsd:double"&gt;5654&lt;/D&gt;&lt;/FQL&gt;&lt;FQL&gt;&lt;Q&gt;GE-US^FF_INVEN_WIP(ANN_R,-9,0,Y,RP,USD,M)&lt;/Q&gt;&lt;R&gt;10&lt;/R&gt;&lt;C&gt;1&lt;/C&gt;&lt;D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xsi:type="xsd:string"&gt;@NA&lt;/D&gt;&lt;/FQL&gt;&lt;FQL&gt;&lt;Q&gt;GE-US^FF_INVEN_MATL(ANN_R,-9,0,Y,RP,USD,M)&lt;/Q&gt;&lt;R&gt;10&lt;/R&gt;&lt;C&gt;1&lt;/C&gt;&lt;D xsi:type="xsd:double"&gt;8735&lt;/D&gt;&lt;D xsi:type="xsd:double"&gt;9295&lt;/D&gt;&lt;D xsi:type="xsd:double"&gt;10220&lt;/D&gt;&lt;D xsi:type="xsd:double"&gt;9963&lt;/D&gt;&lt;D xsi:type="xsd:double"&gt;13415&lt;/D&gt;&lt;D xsi:type="xsd:double"&gt;12637&lt;/D&gt;&lt;D xsi:type="xsd:double"&gt;10131&lt;/D&gt;&lt;D xsi:type="xsd:double"&gt;8057&lt;/D&gt;&lt;D xsi:type="xsd:double"&gt;8771&lt;/D&gt;&lt;D xsi:type="xsd:double"&gt;7937&lt;/D&gt;&lt;/FQL&gt;&lt;FQL&gt;&lt;Q&gt;GE-US^FF_INVEN_PROG_PAYMT(ANN_R,-9,0,Y,RP,USD,M)&lt;/Q&gt;&lt;R&gt;10&lt;/R&gt;&lt;C&gt;1&lt;/C&gt;&lt;D xsi:type="xsd:double"&gt;35&lt;/D&gt;&lt;D xsi:type="xsd:double"&gt;-20&lt;/D&gt;&lt;D xsi:type="xsd:double"&gt;311&lt;/D&gt;&lt;D xsi:type="xsd:double"&gt;694&lt;/D&gt;&lt;D xsi:type="xsd:double"&gt;835&lt;/D&gt;&lt;D xsi:type="xsd:double"&gt;919&lt;/D&gt;&lt;D xsi:type="xsd:double"&gt;441&lt;/D&gt;&lt;D xsi:type="xsd:string"&gt;@NA&lt;/D&gt;&lt;D xsi:type="xsd:double"&gt;3111&lt;/D&gt;&lt;D xsi:type="xsd:double"&gt;2299&lt;/D&gt;&lt;/FQL&gt;&lt;FQL&gt;&lt;Q&gt;GE-US^PCTCHG(FF_INVEN(ANN_R,-9,0,Y,RP,LOCAL,M),FF_INVEN(ANN_R,-9-1,0-1,Y,RP,LOCAL,M))&lt;/Q&gt;&lt;R&gt;10&lt;/R&gt;&lt;C&gt;1&lt;/C&gt;&lt;D xsi:type="xsd:double"&gt;19.659899&lt;/D&gt;&lt;D xsi:type="xsd:double"&gt;11.470418&lt;/D&gt;&lt;D xsi:type="xsd:double"&gt;12.690256&lt;/D&gt;&lt;D xsi:type="xsd:double"&gt;2.10101&lt;/D&gt;&lt;D xsi:type="xsd:double"&gt;27.282492&lt;/D&gt;&lt;D xsi:type="xsd:double"&gt;-0.71507883&lt;/D&gt;&lt;D xsi:type="xsd:double"&gt;-13.129642&lt;/D&gt;&lt;D xsi:type="xsd:double"&gt;-28.92013&lt;/D&gt;&lt;D xsi:type="xsd:double"&gt;24.719263&lt;/D&gt;&lt;D xsi:type="xsd:double"&gt;-7.696776&lt;/D&gt;&lt;/FQL&gt;&lt;FQL&gt;&lt;Q&gt;GE-US^FF_ASSETS_CURR_OTH(ANN_R,-9,0,Y,RP,USD,M)&lt;/Q&gt;&lt;R&gt;10&lt;/R&gt;&lt;C&gt;1&lt;/C&gt;&lt;D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xsi:type="xsd:double"&gt;12512&lt;/D&gt;&lt;D xsi:type="xsd:double"&gt;1522&lt;/D&gt;&lt;/FQL&gt;&lt;FQL&gt;&lt;Q&gt;GE-US^FF_PREP_EXP(ANN_R,-9,0,Y,RP,USD,M)&lt;/Q&gt;&lt;R&gt;10&lt;/R&gt;&lt;C&gt;1&lt;/C&gt;&lt;D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xsi:type="xsd:string"&gt;@NA&lt;/D&gt;&lt;/FQL&gt;&lt;FQL&gt;&lt;Q&gt;GE-US^FF_ASSETS_CURR_MISC(ANN_R,-9,0,Y,RP,USD,M)&lt;/Q&gt;&lt;R&gt;10&lt;/R&gt;&lt;C&gt;1&lt;/C&gt;&lt;D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xsi:type="xsd:double"&gt;12512&lt;/D&gt;&lt;D xsi:type="xsd:double"&gt;1522&lt;/D&gt;&lt;/FQL&gt;&lt;FQL&gt;&lt;Q&gt;GE-US^FF_ASSETS_CURR(ANN_R,-9,0,Y,RP,USD,M)&lt;/Q&gt;&lt;R&gt;10&lt;/R&gt;&lt;C&gt;1&lt;/C&gt;&lt;D xsi:type="xsd:double"&gt;405763&lt;/D&gt;&lt;D xsi:type="xsd:double"&gt;380219&lt;/D&gt;&lt;D xsi:type="xsd:double"&gt;378322&lt;/D&gt;&lt;D xsi:type="xsd:double"&gt;130657&lt;/D&gt;&lt;D xsi:type="xsd:double"&gt;138854&lt;/D&gt;&lt;D xsi:type="xsd:double"&gt;112745&lt;/D&gt;&lt;D xsi:type="xsd:double"&gt;104232&lt;/D&gt;&lt;D xsi:type="xsd:double"&gt;74414&lt;/D&gt;&lt;D xsi:type="xsd:double"&gt;103096&lt;/D&gt;&lt;D xsi:type="xsd:double"&gt;88412&lt;/D&gt;&lt;/FQL&gt;&lt;FQL&gt;&lt;Q&gt;GE-US^FF_PPE_NET(ANN_R,-9,0,Y,RP,USD,M)&lt;/Q&gt;&lt;R&gt;10&lt;/R&gt;&lt;C&gt;1&lt;/C&gt;&lt;D xsi:type="xsd:double"&gt;65739&lt;/D&gt;&lt;D xsi:type="xsd:double"&gt;69743&lt;/D&gt;&lt;D xsi:type="xsd:double"&gt;68827&lt;/D&gt;&lt;D xsi:type="xsd:double"&gt;48070&lt;/D&gt;&lt;D xsi:type="xsd:double"&gt;54095&lt;/D&gt;&lt;D xsi:type="xsd:double"&gt;50518&lt;/D&gt;&lt;D xsi:type="xsd:double"&gt;53874&lt;/D&gt;&lt;D xsi:type="xsd:double"&gt;43611&lt;/D&gt;&lt;D xsi:type="xsd:double"&gt;45879&lt;/D&gt;&lt;D xsi:type="xsd:double"&gt;44662&lt;/D&gt;&lt;/FQL&gt;&lt;FQL&gt;&lt;Q&gt;GE-US^FF_PPE_GROSS(ANN_R,-9,0,Y,RP,USD,M)&lt;/Q&gt;&lt;R&gt;10&lt;/R&gt;&lt;C&gt;1&lt;/C&gt;&lt;D xsi:type="xsd:double"&gt;108117&lt;/D&gt;&lt;D xsi:type="xsd:double"&gt;116763&lt;/D&gt;&lt;D xsi:type="xsd:double"&gt;116469&lt;/D&gt;&lt;D xsi:type="xsd:double"&gt;83191&lt;/D&gt;&lt;D xsi:type="xsd:double"&gt;90022&lt;/D&gt;&lt;D xsi:type="xsd:double"&gt;85875&lt;/D&gt;&lt;D xsi:type="xsd:double"&gt;89608&lt;/D&gt;&lt;D xsi:type="xsd:double"&gt;75618&lt;/D&gt;&lt;D xsi:type="xsd:double"&gt;78194&lt;/D&gt;&lt;D xsi:type="xsd:double"&gt;78914&lt;/D&gt;&lt;/FQL&gt;&lt;FQL&gt;&lt;Q&gt;GE-US^FF_PPE_GROSS_BLDG(ANN_R,-9,0,Y,RP,USD,M)&lt;/Q&gt;&lt;R&gt;10&lt;/R&gt;&lt;C&gt;1&lt;/C&gt;&lt;D xsi:type="xsd:double"&gt;10933&lt;/D&gt;&lt;D xsi:type="xsd:double"&gt;10985&lt;/D&gt;&lt;D xsi:type="xsd:double"&gt;11414&lt;/D&gt;&lt;D xsi:type="xsd:double"&gt;9058&lt;/D&gt;&lt;D xsi:type="xsd:double"&gt;10317&lt;/D&gt;&lt;D xsi:type="xsd:double"&gt;9918&lt;/D&gt;&lt;D xsi:type="xsd:double"&gt;11657&lt;/D&gt;&lt;D xsi:type="xsd:double"&gt;8608&lt;/D&gt;&lt;D xsi:type="xsd:double"&gt;7973&lt;/D&gt;&lt;D xsi:type="xsd:double"&gt;8354&lt;/D&gt;&lt;/FQL&gt;&lt;FQL&gt;&lt;Q&gt;GE-US^FF_PPE_GROSS_LAND(ANN_R,-9,0,Y,RP,USD,M)&lt;/Q&gt;&lt;R&gt;10&lt;/R&gt;&lt;C&gt;1&lt;/C&gt;&lt;D xsi:type="xsd:double"&gt;611&lt;/D&gt;&lt;D xsi:type="xsd:double"&gt;612&lt;/D&gt;&lt;D xsi:type="xsd:double"&gt;707&lt;/D&gt;&lt;D xsi:type="xsd:double"&gt;690&lt;/D&gt;&lt;D xsi:type="xsd:double"&gt;888&lt;/D&gt;&lt;D xsi:type="xsd:double"&gt;932&lt;/D&gt;&lt;D xsi:type="xsd:double"&gt;1175&lt;/D&gt;&lt;D xsi:type="xsd:double"&gt;700&lt;/D&gt;&lt;D xsi:type="xsd:double"&gt;608&lt;/D&gt;&lt;D xsi:type="xsd:double"&gt;599&lt;/D&gt;&lt;/FQL&gt;&lt;FQL&gt;&lt;Q&gt;GE-US^FF_PPE_GROSS_EQUIP(ANN_R,-9,0,Y,RP,USD,M)&lt;/Q&gt;&lt;R&gt;10&lt;/R&gt;&lt;C&gt;1&lt;/C&gt;&lt;D xsi:type="xsd:double"&gt;22071&lt;/D&gt;&lt;D xsi:type="xsd:double"&gt;24090&lt;/D&gt;&lt;D xsi:type="xsd:double"&gt;25323&lt;/D&gt;&lt;D xsi:type="xsd:double"&gt;23370&lt;/D&gt;&lt;D xsi:type="xsd:double"&gt;24515&lt;/D&gt;&lt;D xsi:type="xsd:double"&gt;24596&lt;/D&gt;&lt;D xsi:type="xsd:double"&gt;26702&lt;/D&gt;&lt;D xsi:type="xsd:double"&gt;19425&lt;/D&gt;&lt;D xsi:type="xsd:double"&gt;20082&lt;/D&gt;&lt;D xsi:type="xsd:double"&gt;20915&lt;/D&gt;&lt;/FQL&gt;&lt;FQL&gt;&lt;Q&gt;GE-US^FF_PPE_GROSS_CONSTR(ANN_R,-9,0,Y,RP,USD,M)&lt;/Q&gt;&lt;R&gt;10&lt;/R&gt;&lt;C&gt;1&lt;/C&gt;&lt;D xsi:type="xsd:double"&gt;2538&lt;/D&gt;&lt;D xsi:type="xsd:double"&gt;2815&lt;/D&gt;&lt;D xsi:type="xsd:double"&gt;3309&lt;/D&gt;&lt;D xsi:type="xsd:double"&gt;3751&lt;/D&gt;&lt;D xsi:type="xsd:double"&gt;4359&lt;/D&gt;&lt;D xsi:type="xsd:double"&gt;3407&lt;/D&gt;&lt;D xsi:type="xsd:double"&gt;3862&lt;/D&gt;&lt;D xsi:type="xsd:double"&gt;2645&lt;/D&gt;&lt;D xsi:type="xsd:double"&gt;2165&lt;/D&gt;&lt;D xsi:type="xsd:double"&gt;2028&lt;/D&gt;&lt;/FQL&gt;&lt;FQL&gt;&lt;Q&gt;GE-US^FF_PPE_GROSS_LEASES(ANN_R,-9,0,Y,RP,USD,M)&lt;/Q&gt;&lt;R&gt;10&lt;/R&gt;&lt;C&gt;1&lt;/C&gt;&lt;D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xsi:type="xsd:string"&gt;@NA&lt;/D&gt;&lt;/FQL&gt;&lt;FQL&gt;&lt;Q&gt;GE-US^FF_PPE_GROSS_SOFT_EQUIP(ANN_R,-9,0,Y,RP,USD,M)&lt;/Q&gt;&lt;R&gt;10&lt;/R&gt;&lt;C&gt;1&lt;/C&gt;&lt;D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xsi:type="xsd:string"&gt;@NA&lt;/D&gt;&lt;/FQL&gt;&lt;FQL&gt;&lt;Q&gt;GE-US^FF_PPE_GROSS_LEASED_PROP(ANN_R,-9,0,Y,RP,USD,M)&lt;/Q&gt;&lt;R&gt;10&lt;/R&gt;&lt;C&gt;1&lt;/C&gt;&lt;D xsi:type="xsd:double"&gt;71924&lt;/D&gt;&lt;D xsi:type="xsd:double"&gt;78220&lt;/D&gt;&lt;D xsi:type="xsd:double"&gt;76063&lt;/D&gt;&lt;D xsi:type="xsd:double"&gt;46784&lt;/D&gt;&lt;D xsi:type="xsd:double"&gt;50882&lt;/D&gt;&lt;D xsi:type="xsd:double"&gt;47947&lt;/D&gt;&lt;D xsi:type="xsd:double"&gt;47014&lt;/D&gt;&lt;D xsi:type="xsd:double"&gt;45149&lt;/D&gt;&lt;D xsi:type="xsd:double"&gt;45331&lt;/D&gt;&lt;D xsi:type="xsd:double"&gt;45314&lt;/D&gt;&lt;/FQL&gt;&lt;FQL&gt;&lt;Q&gt;GE-US^FF_PPE_GROSS_TRANS_EQUIP(ANN_R,-9,0,Y,RP,USD,M)&lt;/Q&gt;&lt;R&gt;10&lt;/R&gt;&lt;C&gt;1&lt;/C&gt;&lt;D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xsi:type="xsd:string"&gt;@NA&lt;/D&gt;&lt;/FQL&gt;&lt;FQL&gt;&lt;Q&gt;GE-US^FF_PPE_GROSS_OTH(ANN_R,-9,0,Y,RP,USD,M)&lt;/Q&gt;&lt;R&gt;10&lt;/R&gt;&lt;C&gt;1&lt;/C&gt;&lt;D xsi:type="xsd:double"&gt;40&lt;/D&gt;&lt;D xsi:type="xsd:double"&gt;41&lt;/D&gt;&lt;D xsi:type="xsd:double"&gt;-347&lt;/D&gt;&lt;D xsi:type="xsd:double"&gt;-462&lt;/D&gt;&lt;D xsi:type="xsd:double"&gt;-939&lt;/D&gt;&lt;D xsi:type="xsd:double"&gt;-925&lt;/D&gt;&lt;D xsi:type="xsd:double"&gt;-802&lt;/D&gt;&lt;D xsi:type="xsd:double"&gt;-909&lt;/D&gt;&lt;D xsi:type="xsd:double"&gt;-1279&lt;/D&gt;&lt;D xsi:type="xsd:double"&gt;-1283&lt;/D&gt;&lt;/FQL&gt;&lt;FQL&gt;&lt;Q&gt;GE-US^FF_PPE_DEP(ANN_R,-9,0,Y,RP,USD,M)&lt;/Q&gt;&lt;R&gt;10&lt;/R&gt;&lt;C&gt;1&lt;/C&gt;&lt;D xsi:type="xsd:double"&gt;42378&lt;/D&gt;&lt;D xsi:type="xsd:double"&gt;47020&lt;/D&gt;&lt;D xsi:type="xsd:double"&gt;47642&lt;/D&gt;&lt;D xsi:type="xsd:double"&gt;35121&lt;/D&gt;&lt;D xsi:type="xsd:double"&gt;35927&lt;/D&gt;&lt;D xsi:type="xsd:double"&gt;35357&lt;/D&gt;&lt;D xsi:type="xsd:double"&gt;35734&lt;/D&gt;&lt;D xsi:type="xsd:double"&gt;32007&lt;/D&gt;&lt;D xsi:type="xsd:double"&gt;32315&lt;/D&gt;&lt;D xsi:type="xsd:double"&gt;34252&lt;/D&gt;&lt;/FQL&gt;&lt;FQL&gt;&lt;Q&gt;GE-US^FF_PPE_DEP_BLDG(ANN_R,-9,0,Y,RP,USD,M)&lt;/Q&gt;&lt;R&gt;10&lt;/R&gt;&lt;C&gt;1&lt;/C&gt;&lt;D xsi:type="xsd:double"&gt;5607&lt;/D&gt;&lt;D xsi:type="xsd:double"&gt;5908&lt;/D&gt;&lt;D xsi:type="xsd:double"&gt;6184&lt;/D&gt;&lt;D xsi:type="xsd:double"&gt;4785&lt;/D&gt;&lt;D xsi:type="xsd:double"&gt;4776&lt;/D&gt;&lt;D xsi:type="xsd:double"&gt;3834&lt;/D&gt;&lt;D xsi:type="xsd:double"&gt;4699&lt;/D&gt;&lt;D xsi:type="xsd:double"&gt;4493&lt;/D&gt;&lt;D xsi:type="xsd:double"&gt;4069&lt;/D&gt;&lt;D xsi:type="xsd:double"&gt;4503&lt;/D&gt;&lt;/FQL&gt;&lt;FQL&gt;&lt;Q&gt;GE-US^FF_PPE_DEP_LAND(ANN_R,-9,0,Y,RP,USD,M)&lt;/Q&gt;&lt;R&gt;10&lt;/R&gt;&lt;C&gt;1&lt;/C&gt;&lt;D xsi:type="xsd:double"&gt;27&lt;/D&gt;&lt;D xsi:type="xsd:double"&gt;30&lt;/D&gt;&lt;D xsi:type="xsd:double"&gt;36&lt;/D&gt;&lt;D xsi:type="xsd:double"&gt;-8&lt;/D&gt;&lt;D xsi:type="xsd:double"&gt;18&lt;/D&gt;&lt;D xsi:type="xsd:double"&gt;22&lt;/D&gt;&lt;D xsi:type="xsd:double"&gt;21&lt;/D&gt;&lt;D xsi:type="xsd:double"&gt;27&lt;/D&gt;&lt;D xsi:type="xsd:double"&gt;12&lt;/D&gt;&lt;D xsi:type="xsd:double"&gt;10&lt;/D&gt;&lt;/FQL&gt;&lt;FQL&gt;&lt;Q&gt;GE-US^FF_PPE_DEP_EQUIP(ANN_R,-9,0,Y,RP,USD,M)&lt;/Q&gt;&lt;R&gt;10&lt;/R&gt;&lt;C&gt;1&lt;/C&gt;&lt;D xsi:type="xsd:double"&gt;14423&lt;/D&gt;&lt;D xsi:type="xsd:double"&gt;15029&lt;/D&gt;&lt;D xsi:type="xsd:double"&gt;15622&lt;/D&gt;&lt;D xsi:type="xsd:double"&gt;14330&lt;/D&gt;&lt;D xsi:type="xsd:double"&gt;14529&lt;/D&gt;&lt;D xsi:type="xsd:double"&gt;15227&lt;/D&gt;&lt;D xsi:type="xsd:double"&gt;13968&lt;/D&gt;&lt;D xsi:type="xsd:double"&gt;11377&lt;/D&gt;&lt;D xsi:type="xsd:double"&gt;11722&lt;/D&gt;&lt;D xsi:type="xsd:double"&gt;13046&lt;/D&gt;&lt;/FQL&gt;&lt;FQL&gt;&lt;Q&gt;GE-US^FF_PPE_DEP_CONSTR(ANN_R,-9,0,Y,RP,USD,M)&lt;/Q&gt;&lt;R&gt;10&lt;/R&gt;&lt;C&gt;1&lt;/C&gt;&lt;D xsi:type="xsd:double"&gt;314&lt;/D&gt;&lt;D xsi:type="xsd:double"&gt;428&lt;/D&gt;&lt;D xsi:type="xsd:double"&gt;312&lt;/D&gt;&lt;D xsi:type="xsd:double"&gt;413&lt;/D&gt;&lt;D xsi:type="xsd:double"&gt;510&lt;/D&gt;&lt;D xsi:type="xsd:double"&gt;598&lt;/D&gt;&lt;D xsi:type="xsd:double"&gt;700&lt;/D&gt;&lt;D xsi:type="xsd:double"&gt;622&lt;/D&gt;&lt;D xsi:type="xsd:double"&gt;626&lt;/D&gt;&lt;D xsi:type="xsd:double"&gt;678&lt;/D&gt;&lt;/FQL&gt;&lt;FQL&gt;&lt;Q&gt;GE-US^FF_PPE_DEP_LEASES(ANN_R,-9,0,Y,RP,USD,M)&lt;/Q&gt;&lt;R&gt;10&lt;/R&gt;&lt;C&gt;1&lt;/C&gt;&lt;D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xsi:type="xsd:string"&gt;@NA&lt;/D&gt;&lt;/FQL&gt;&lt;FQL&gt;&lt;Q&gt;GE-US^FF_PPE_DEP_SOFT_EQUIP(ANN_R,-9,0,Y,RP,USD,M)&lt;/Q&gt;&lt;R&gt;10&lt;/R&gt;&lt;C&gt;1&lt;/C&gt;&lt;D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xsi:type="xsd:string"&gt;@NA&lt;/D&gt;&lt;/FQL&gt;&lt;FQL&gt;&lt;Q&gt;GE-US^FF_PPE_DEP_LEASED_PROP(ANN_R,-9,0,Y,RP,USD,M)&lt;/Q&gt;&lt;R&gt;10&lt;/R&gt;&lt;C&gt;1&lt;/C&gt;&lt;D xsi:type="xsd:double"&gt;22004&lt;/D&gt;&lt;D xsi:type="xsd:double"&gt;25621&lt;/D&gt;&lt;D xsi:type="xsd:double"&gt;25481&lt;/D&gt;&lt;D xsi:type="xsd:double"&gt;15672&lt;/D&gt;&lt;D xsi:type="xsd:double"&gt;16202&lt;/D&gt;&lt;D xsi:type="xsd:double"&gt;15792&lt;/D&gt;&lt;D xsi:type="xsd:double"&gt;16464&lt;/D&gt;&lt;D xsi:type="xsd:double"&gt;15671&lt;/D&gt;&lt;D xsi:type="xsd:double"&gt;15711&lt;/D&gt;&lt;D xsi:type="xsd:double"&gt;15925&lt;/D&gt;&lt;/FQL&gt;&lt;FQL&gt;&lt;Q&gt;GE-US^FF_PPE_DEP_TRANS_EQUIP(ANN_R,-9,0,Y,RP,USD,M)&lt;/Q&gt;&lt;R&gt;10&lt;/R&gt;&lt;C&gt;1&lt;/C&gt;&lt;D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xsi:type="xsd:string"&gt;@NA&lt;/D&gt;&lt;/FQL&gt;&lt;FQL&gt;&lt;Q&gt;GE-US^FF_PPE_DEP_OTH(ANN_R,-9,0,Y,RP,USD,M)&lt;/Q&gt;&lt;R&gt;10&lt;/R&gt;&lt;C&gt;1&lt;/C&gt;&lt;D xsi:type="xsd:double"&gt;3&lt;/D&gt;&lt;D xsi:type="xsd:double"&gt;4&lt;/D&gt;&lt;D xsi:type="xsd:double"&gt;7&lt;/D&gt;&lt;D xsi:type="xsd:double"&gt;-71&lt;/D&gt;&lt;D xsi:type="xsd:double"&gt;-108&lt;/D&gt;&lt;D xsi:type="xsd:double"&gt;-116&lt;/D&gt;&lt;D xsi:type="xsd:double"&gt;-118&lt;/D&gt;&lt;D xsi:type="xsd:double"&gt;-181&lt;/D&gt;&lt;D xsi:type="xsd:double"&gt;175&lt;/D&gt;&lt;D xsi:type="xsd:double"&gt;90&lt;/D&gt;&lt;/FQL&gt;&lt;FQL&gt;&lt;Q&gt;GE-US^FF_INVEST_ADV(ANN_R,-9,0,Y,RP,USD,M)&lt;/Q&gt;&lt;R&gt;10&lt;/R&gt;&lt;C&gt;1&lt;/C&gt;&lt;D xsi:type="xsd:double"&gt;138458&lt;/D&gt;&lt;D xsi:type="xsd:double"&gt;126653&lt;/D&gt;&lt;D xsi:type="xsd:double"&gt;88758&lt;/D&gt;&lt;D xsi:type="xsd:double"&gt;50508&lt;/D&gt;&lt;D xsi:type="xsd:double"&gt;56337&lt;/D&gt;&lt;D xsi:type="xsd:double"&gt;57109&lt;/D&gt;&lt;D xsi:type="xsd:double"&gt;38696&lt;/D&gt;&lt;D xsi:type="xsd:double"&gt;33508&lt;/D&gt;&lt;D xsi:type="xsd:double"&gt;44874&lt;/D&gt;&lt;D xsi:type="xsd:double"&gt;49575&lt;/D&gt;&lt;/FQL&gt;&lt;FQL&gt;&lt;Q&gt;GE-US^FF_INVEST_AFF(ANN_R,-9,0,Y,RP,USD,M)&lt;/Q&gt;&lt;R&gt;10&lt;/R&gt;&lt;C&gt;1&lt;/C&gt;&lt;D xsi:type="xsd:double"&gt;44052&lt;/D&gt;&lt;D xsi:type="xsd:double"&gt;41288&lt;/D&gt;&lt;D xsi:type="xsd:double"&gt;21285&lt;/D&gt;&lt;D xsi:type="xsd:double"&gt;12035&lt;/D&gt;&lt;D xsi:type="xsd:double"&gt;11955&lt;/D&gt;&lt;D xsi:type="xsd:double"&gt;11698&lt;/D&gt;&lt;D xsi:type="xsd:double"&gt;0&lt;/D&gt;&lt;D xsi:type="xsd:double"&gt;0&lt;/D&gt;&lt;D xsi:type="xsd:double"&gt;0&lt;/D&gt;&lt;D xsi:type="xsd:double"&gt;0&lt;/D&gt;&lt;/FQL&gt;&lt;FQL&gt;&lt;Q&gt;GE-US^FF_INVEST_OTH(ANN_R,-9,0,Y,RP,USD,M)&lt;/Q&gt;&lt;R&gt;10&lt;/R&gt;&lt;C&gt;1&lt;/C&gt;&lt;D xsi:type="xsd:double"&gt;94406&lt;/D&gt;&lt;D xsi:type="xsd:double"&gt;85365&lt;/D&gt;&lt;D xsi:type="xsd:double"&gt;67473&lt;/D&gt;&lt;D xsi:type="xsd:double"&gt;38473&lt;/D&gt;&lt;D xsi:type="xsd:double"&gt;44382&lt;/D&gt;&lt;D xsi:type="xsd:double"&gt;45411&lt;/D&gt;&lt;D xsi:type="xsd:double"&gt;38696&lt;/D&gt;&lt;D xsi:type="xsd:double"&gt;33508&lt;/D&gt;&lt;D xsi:type="xsd:double"&gt;44874&lt;/D&gt;&lt;D xsi:type="xsd:double"&gt;49575&lt;/D&gt;&lt;/FQL&gt;&lt;FQL&gt;&lt;Q&gt;GE-US^FF_NOTES_RECEIV_LT(ANN_R,-9,0,Y,RP,USD,M)&lt;/Q&gt;&lt;R&gt;10&lt;/R&gt;&lt;C&gt;1&lt;/C&gt;&lt;D xsi:type="xsd:double"&gt;10324&lt;/D&gt;&lt;D xsi:type="xsd:double"&gt;10157&lt;/D&gt;&lt;D xsi:type="xsd:double"&gt;993&lt;/D&gt;&lt;D xsi:type="xsd:double"&gt;17726&lt;/D&gt;&lt;D xsi:type="xsd:double"&gt;23466&lt;/D&gt;&lt;D xsi:type="xsd:double"&gt;27595&lt;/D&gt;&lt;D xsi:type="xsd:double"&gt;13775&lt;/D&gt;&lt;D xsi:type="xsd:double"&gt;10880&lt;/D&gt;&lt;D xsi:type="xsd:double"&gt;8979&lt;/D&gt;&lt;D xsi:type="xsd:double"&gt;8862&lt;/D&gt;&lt;/FQL&gt;&lt;FQL&gt;&lt;Q&gt;GE-US^FF_INTANG(ANN_R,-9,0,Y,RP,USD,M)&lt;/Q&gt;&lt;R&gt;10&lt;/R&gt;&lt;C&gt;1&lt;/C&gt;&lt;D xsi:type="xsd:double"&gt;84693&lt;/D&gt;&lt;D xsi:type="xsd:double"&gt;85434&lt;/D&gt;&lt;D xsi:type="xsd:double"&gt;91958&lt;/D&gt;&lt;D xsi:type="xsd:double"&gt;66389&lt;/D&gt;&lt;D xsi:type="xsd:double"&gt;83323&lt;/D&gt;&lt;D xsi:type="xsd:double"&gt;86874&lt;/D&gt;&lt;D xsi:type="xsd:double"&gt;104241&lt;/D&gt;&lt;D xsi:type="xsd:double"&gt;46152&lt;/D&gt;&lt;D xsi:type="xsd:double"&gt;37387&lt;/D&gt;&lt;D xsi:type="xsd:double"&gt;35298&lt;/D&gt;&lt;/FQL&gt;&lt;FQL&gt;&lt;Q&gt;GE-US^FF_GW(ANN_R,-9,0,Y,RP,USD,M)&lt;/Q&gt;&lt;R&gt;10&lt;/R&gt;&lt;C&gt;1&lt;/C&gt;&lt;D xsi:type="xsd:double"&gt;72625&lt;/D&gt;&lt;D xsi:type="xsd:double"&gt;73447&lt;/D&gt;&lt;D xsi:type="xsd:double"&gt;77648&lt;/D&gt;&lt;D xsi:type="xsd:double"&gt;53207&lt;/D&gt;&lt;D xsi:type="xsd:double"&gt;65526&lt;/D&gt;&lt;D xsi:type="xsd:double"&gt;70438&lt;/D&gt;&lt;D xsi:type="xsd:double"&gt;83968&lt;/D&gt;&lt;D xsi:type="xsd:double"&gt;33974&lt;/D&gt;&lt;D xsi:type="xsd:double"&gt;26734&lt;/D&gt;&lt;D xsi:type="xsd:double"&gt;25524&lt;/D&gt;&lt;/FQL&gt;&lt;FQL&gt;&lt;Q&gt;GE-US^FF_INTANG_OTH(ANN_R,-9,0,Y,RP,USD,M)&lt;/Q&gt;&lt;R&gt;10&lt;/R&gt;&lt;C&gt;1&lt;/C&gt;&lt;D xsi:type="xsd:double"&gt;12068&lt;/D&gt;&lt;D xsi:type="xsd:double"&gt;11987&lt;/D&gt;&lt;D xsi:type="xsd:double"&gt;14310&lt;/D&gt;&lt;D xsi:type="xsd:double"&gt;13182&lt;/D&gt;&lt;D xsi:type="xsd:double"&gt;17797&lt;/D&gt;&lt;D xsi:type="xsd:double"&gt;16436&lt;/D&gt;&lt;D xsi:type="xsd:double"&gt;20273&lt;/D&gt;&lt;D xsi:type="xsd:double"&gt;12178&lt;/D&gt;&lt;D xsi:type="xsd:double"&gt;10653&lt;/D&gt;&lt;D xsi:type="xsd:double"&gt;9774&lt;/D&gt;&lt;/FQL&gt;&lt;FQL&gt;&lt;Q&gt;GE-US^FF_DFD_TAX_DB(ANN_R,-9,0,Y,RP,USD,M)&lt;/Q&gt;&lt;R&gt;10&lt;/R&gt;&lt;C&gt;1&lt;/C&gt;&lt;D xsi:type="xsd:double"&gt;30688&lt;/D&gt;&lt;D xsi:type="xsd:double"&gt;31930&lt;/D&gt;&lt;D xsi:type="xsd:double"&gt;28508&lt;/D&gt;&lt;D xsi:type="xsd:double"&gt;27991&lt;/D&gt;&lt;D xsi:type="xsd:double"&gt;25182&lt;/D&gt;&lt;D xsi:type="xsd:double"&gt;26199&lt;/D&gt;&lt;D xsi:type="xsd:double"&gt;22189&lt;/D&gt;&lt;D xsi:type="xsd:double"&gt;20693&lt;/D&gt;&lt;D xsi:type="xsd:double"&gt;11388&lt;/D&gt;&lt;D xsi:type="xsd:double"&gt;13679&lt;/D&gt;&lt;/FQL&gt;&lt;FQL&gt;&lt;Q&gt;GE-US^FF_ASSETS_OTH(ANN_R,-9,0,Y,RP,USD,M)&lt;/Q&gt;&lt;R&gt;10&lt;/R&gt;&lt;C&gt;1&lt;/C&gt;&lt;D xsi:type="xsd:double"&gt;12265&lt;/D&gt;&lt;D xsi:type="xsd:double"&gt;13122&lt;/D&gt;&lt;D xsi:type="xsd:double"&gt;27427&lt;/D&gt;&lt;D xsi:type="xsd:double"&gt;335421&lt;/D&gt;&lt;D xsi:type="xsd:double"&gt;133891&lt;/D&gt;&lt;D xsi:type="xsd:double"&gt;28509&lt;/D&gt;&lt;D xsi:type="xsd:double"&gt;45608&lt;/D&gt;&lt;D xsi:type="xsd:double"&gt;90390&lt;/D&gt;&lt;D xsi:type="xsd:double"&gt;15073&lt;/D&gt;&lt;D xsi:type="xsd:double"&gt;14562&lt;/D&gt;&lt;/FQL&gt;&lt;FQL&gt;&lt;Q&gt;GE-US^FF_DFD_CHRG(ANN_R,-9,0,Y,RP,USD,M)&lt;/Q&gt;&lt;R&gt;10&lt;/R&gt;&lt;C&gt;1&lt;/C&gt;&lt;D xsi:type="xsd:double"&gt;2942&lt;/D&gt;&lt;D xsi:type="xsd:double"&gt;2799&lt;/D&gt;&lt;D xsi:type="xsd:double"&gt;3224&lt;/D&gt;&lt;D xsi:type="xsd:double"&gt;2034&lt;/D&gt;&lt;D xsi:type="xsd:double"&gt;2353&lt;/D&gt;&lt;D xsi:type="xsd:double"&gt;2190&lt;/D&gt;&lt;D xsi:type="xsd:double"&gt;5484&lt;/D&gt;&lt;D xsi:type="xsd:double"&gt;5404&lt;/D&gt;&lt;D xsi:type="xsd:double"&gt;5737&lt;/D&gt;&lt;D xsi:type="xsd:double"&gt;5888&lt;/D&gt;&lt;/FQL&gt;&lt;FQL&gt;&lt;Q&gt;GE-US^FF_ASSETS_OTH_TANG(ANN_R,-9,0,Y,RP,USD,M)&lt;/Q&gt;&lt;R&gt;10&lt;/R&gt;&lt;C&gt;1&lt;/C&gt;&lt;D xsi:type="xsd:double"&gt;9323&lt;/D&gt;&lt;D xsi:type="xsd:double"&gt;10323&lt;/D&gt;&lt;D xsi:type="xsd:double"&gt;24203&lt;/D&gt;&lt;D xsi:type="xsd:double"&gt;333387&lt;/D&gt;&lt;D xsi:type="xsd:double"&gt;131538&lt;/D&gt;&lt;D xsi:type="xsd:double"&gt;26319&lt;/D&gt;&lt;D xsi:type="xsd:double"&gt;40124&lt;/D&gt;&lt;D xsi:type="xsd:double"&gt;84986&lt;/D&gt;&lt;D xsi:type="xsd:double"&gt;9336&lt;/D&gt;&lt;D xsi:type="xsd:double"&gt;8674&lt;/D&gt;&lt;/FQL&gt;&lt;FQL&gt;&lt;Q&gt;GE-US^FF_ASSETS(ANN_R,-9,0,Y,RP,USD,M)&lt;/Q&gt;&lt;R&gt;10&lt;/R&gt;&lt;C&gt;1&lt;/C&gt;&lt;D xsi:type="xsd:double"&gt;747930&lt;/D&gt;&lt;D xsi:type="xsd:double"&gt;717258&lt;/D&gt;&lt;D xsi:type="xsd:double"&gt;684793&lt;/D&gt;&lt;D xsi:type="xsd:double"&gt;676762&lt;/D&gt;&lt;D xsi:type="xsd:double"&gt;515148&lt;/D&gt;&lt;D xsi:type="xsd:double"&gt;389549&lt;/D&gt;&lt;D xsi:type="xsd:double"&gt;382615&lt;/D&gt;&lt;D xsi:type="xsd:double"&gt;319648&lt;/D&gt;&lt;D xsi:type="xsd:double"&gt;266676&lt;/D&gt;&lt;D xsi:type="xsd:double"&gt;255050&lt;/D&gt;&lt;/FQL&gt;&lt;FQL&gt;&lt;Q&gt;GE-US^PCTCHG(FF_ASSETS(ANN_R,-9,0,Y,RP,LOCAL,M),FF_ASSETS(ANN_R,-9-1,0-1,Y,RP,LOCAL,M))&lt;/Q&gt;&lt;R&gt;10&lt;/R&gt;&lt;C&gt;1&lt;/C&gt;&lt;D xsi:type="xsd:double"&gt;-3.9852421&lt;/D&gt;&lt;D xsi:type="xsd:double"&gt;-4.100919&lt;/D&gt;&lt;D xsi:type="xsd:double"&gt;-4.526265&lt;/D&gt;&lt;D xsi:type="xsd:double"&gt;-1.1727631&lt;/D&gt;&lt;D xsi:type="xsd:double"&gt;-23.880478&lt;/D&gt;&lt;D xsi:type="xsd:double"&gt;-24.38115&lt;/D&gt;&lt;D xsi:type="xsd:double"&gt;-1.7800071&lt;/D&gt;&lt;D xsi:type="xsd:double"&gt;-16.457012&lt;/D&gt;&lt;D xsi:type="xsd:double"&gt;-16.57198&lt;/D&gt;&lt;D xsi:type="xsd:double"&gt;-4.359597&lt;/D&gt;&lt;/FQL&gt;&lt;FQL&gt;&lt;Q&gt;GE-US^FF_DEBT_ST(ANN_R,-9,0,Y,RP,USD,M)&lt;/Q&gt;&lt;R&gt;10&lt;/R&gt;&lt;C&gt;1&lt;/C&gt;&lt;D xsi:type="xsd:double"&gt;148325&lt;/D&gt;&lt;D xsi:type="xsd:double"&gt;110487&lt;/D&gt;&lt;D xsi:type="xsd:double"&gt;86937&lt;/D&gt;&lt;D xsi:type="xsd:double"&gt;70425&lt;/D&gt;&lt;D xsi:type="xsd:double"&gt;49860&lt;/D&gt;&lt;D xsi:type="xsd:double"&gt;30714&lt;/D&gt;&lt;D xsi:type="xsd:double"&gt;24036&lt;/D&gt;&lt;D xsi:type="xsd:double"&gt;12776&lt;/D&gt;&lt;D xsi:type="xsd:double"&gt;23641&lt;/D&gt;&lt;D xsi:type="xsd:double"&gt;4778&lt;/D&gt;&lt;/FQL&gt;&lt;FQL&gt;&lt;Q&gt;GE-US^FF_DEBT_ST_BORR_FED_RSRV(ANN_R,-9,0,Y,RP,USD,M)&lt;/Q&gt;&lt;R&gt;0&lt;/R&gt;&lt;C&gt;0&lt;/C&gt;&lt;/FQL&gt;&lt;FQL&gt;&lt;Q&gt;GE-US^FF_DEBT_ST_REPOS(ANN_R,-9,0,Y,RP,USD,M)&lt;/Q&gt;&lt;R&gt;0&lt;/R&gt;&lt;C&gt;0&lt;/C&gt;&lt;/FQL&gt;&lt;FQL&gt;&lt;Q&gt;GE-US^FF_DEBT_ST_PURCH_FED_FUNDS(ANN_R,-9,0,Y,RP,USD,M)&lt;/Q&gt;&lt;R&gt;0&lt;/R&gt;&lt;C&gt;0&lt;/C&gt;&lt;/FQL&gt;&lt;FQL&gt;&lt;Q&gt;GE-US^FF_DEBT_ST_ADV_FHLB(ANN_R,-9,0,Y,RP,USD,M)&lt;/Q&gt;&lt;R&gt;0&lt;/R&gt;&lt;C&gt;0&lt;/C&gt;&lt;/FQL&gt;&lt;FQL&gt;&lt;Q&gt;GE-US^FF_DEBT_ST_ADV_FFCB(ANN_R,-9,0,Y,RP,USD,M)&lt;/Q&gt;&lt;R&gt;0&lt;/R&gt;&lt;C&gt;0&lt;/C&gt;&lt;/FQL&gt;&lt;FQL&gt;&lt;Q&gt;GE-US^FF_DEBT_ST_GTD_FDIC_CP(ANN_R,-9,0,Y,RP,USD,M)&lt;/Q&gt;&lt;R&gt;0&lt;/R&gt;&lt;C&gt;0&lt;/C&gt;&lt;/FQL&gt;&lt;FQL&gt;&lt;Q&gt;GE-US^FF_DEBT_ST_SECURE_ABS_CP(ANN_R,-9,0,Y,RP,USD,M)&lt;/Q&gt;&lt;R&gt;0&lt;/R&gt;&lt;C&gt;0&lt;/C&gt;&lt;/FQL&gt;&lt;FQL&gt;&lt;Q&gt;GE-US^FF_DEBT_ST_UNSECURE_CP(ANN_R,-9,0,Y,RP,USD,M)&lt;/Q&gt;&lt;R&gt;0&lt;/R&gt;&lt;C&gt;0&lt;/C&gt;&lt;/FQL&gt;&lt;FQL&gt;&lt;Q&gt;GE-US^FF_DEBT_ST_SECURE_REVOLV(ANN_R,-9,0,Y,RP,USD,M)&lt;/Q&gt;&lt;R&gt;0&lt;/R&gt;&lt;C&gt;0&lt;/C&gt;&lt;/FQL&gt;&lt;FQL&gt;&lt;Q&gt;GE-US^FF_DEBT_ST_UNSECURE_REVOLV(ANN_R,-9,0,Y,RP,USD,M)&lt;/Q&gt;&lt;R&gt;0&lt;/R&gt;&lt;C&gt;0&lt;/C&gt;&lt;/FQL&gt;&lt;FQL&gt;&lt;Q&gt;GE-US^FF_DEBT_REVOLV_SECURE_CURR(ANN_R,-9,0,Y,RP,USD,M)&lt;/Q&gt;&lt;R&gt;0&lt;/R&gt;&lt;C&gt;0&lt;/C&gt;&lt;/FQL&gt;&lt;FQL&gt;&lt;Q&gt;GE-US^FF_DEBT_REVOLV_UNSECURE_CURR(ANN_R,-9,0,Y,RP,USD,M)&lt;/Q&gt;&lt;R&gt;0&lt;/R&gt;&lt;C&gt;0&lt;/C&gt;&lt;/FQL&gt;&lt;FQL&gt;&lt;Q&gt;GE-US^FF_DEBT_ST_STN_BANK(ANN_R,-9,0,Y,RP,USD,M)&lt;/Q&gt;&lt;R&gt;0&lt;/R&gt;&lt;C&gt;0&lt;/C&gt;&lt;/FQL&gt;&lt;FQL&gt;&lt;Q&gt;GE-US^FF_DEBT_ST_SECURE_OTH(ANN_R,-9,0,Y,RP,USD,M)&lt;/Q&gt;&lt;R&gt;0&lt;/R&gt;&lt;C&gt;0&lt;/C&gt;&lt;/FQL&gt;&lt;FQL&gt;&lt;Q&gt;GE-US^FF_DEBT_ST_UNSECURE_OTH(ANN_R,-9,0,Y,RP,USD,M)&lt;/Q&gt;&lt;R&gt;0&lt;/R&gt;&lt;C&gt;0&lt;/C&gt;&lt;/FQL&gt;&lt;FQL&gt;&lt;Q&gt;GE-US^FF_DEBT_ST_NOTES_PAY(ANN_R,-9,0,Y,RP,USD,M)&lt;/Q&gt;&lt;R&gt;0&lt;/R&gt;&lt;C&gt;0&lt;/C&gt;&lt;/FQL&gt;&lt;FQL&gt;&lt;Q&gt;GE-US^FF_DEBT_ST_ADJ(ANN_R,-9,0,Y,RP,USD,M)&lt;/Q&gt;&lt;R&gt;0&lt;/R&gt;&lt;C&gt;0&lt;/C&gt;&lt;/FQL&gt;&lt;FQL&gt;&lt;Q&gt;GE-US^FF_DEBT_ST_CURR_PORT(ANN_R,-9,0,Y,RP,USD,M)&lt;/Q&gt;&lt;R&gt;0&lt;/R&gt;&lt;C&gt;0&lt;/C&gt;&lt;/FQL&gt;&lt;FQL&gt;&lt;Q&gt;GE-US^FF_PAY_ACCT(ANN_R,-9,0,Y,RP,USD,M)&lt;/Q&gt;&lt;R&gt;10&lt;/R&gt;&lt;C&gt;1&lt;/C&gt;&lt;D xsi:type="xsd:double"&gt;16400&lt;/D&gt;&lt;D xsi:type="xsd:double"&gt;15675&lt;/D&gt;&lt;D xsi:type="xsd:double"&gt;16471&lt;/D&gt;&lt;D xsi:type="xsd:double"&gt;12067&lt;/D&gt;&lt;D xsi:type="xsd:double"&gt;13680&lt;/D&gt;&lt;D xsi:type="xsd:double"&gt;14435&lt;/D&gt;&lt;D xsi:type="xsd:double"&gt;15172&lt;/D&gt;&lt;D xsi:type="xsd:double"&gt;13826&lt;/D&gt;&lt;D xsi:type="xsd:double"&gt;17357&lt;/D&gt;&lt;D xsi:type="xsd:double"&gt;16476&lt;/D&gt;&lt;/FQL&gt;&lt;FQL&gt;&lt;Q&gt;GE-US^PCTCHG(FF_PAY_ACCT(ANN_R,-9,0,Y,RP,LOCAL,M),FF_PAY_ACCT(ANN_R,-9-1,0-1,Y,RP,LOCAL,M))&lt;/Q&gt;&lt;R&gt;10&lt;/R&gt;&lt;C&gt;1&lt;/C&gt;&lt;D xsi:type="xsd:double"&gt;11.891929&lt;/D&gt;&lt;D xsi:type="xsd:double"&gt;-4.4207315&lt;/D&gt;&lt;D xsi:type="xsd:double"&gt;5.07815&lt;/D&gt;&lt;D xsi:type="xsd:double"&gt;-26.737904&lt;/D&gt;&lt;D xsi:type="xsd:double"&gt;13.367034&lt;/D&gt;&lt;D xsi:type="xsd:double"&gt;5.519006&lt;/D&gt;&lt;D xsi:type="xsd:double"&gt;5.105646&lt;/D&gt;&lt;D xsi:type="xsd:double"&gt;-8.871606&lt;/D&gt;&lt;D xsi:type="xsd:double"&gt;25.53884&lt;/D&gt;&lt;D xsi:type="xsd:double"&gt;-5.075762&lt;/D&gt;&lt;/FQL&gt;&lt;FQL&gt;&lt;Q&gt;GE-US^FF_PAY_TAX(ANN_R,-9,0,Y,RP,USD,M)&lt;/Q&gt;&lt;R&gt;10&lt;/R&gt;&lt;C&gt;1&lt;/C&gt;&lt;D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xsi:type="xsd:double"&gt;503&lt;/D&gt;&lt;D xsi:type="xsd:double"&gt;429&lt;/D&gt;&lt;D xsi:type="xsd:double"&gt;413&lt;/D&gt;&lt;/FQL&gt;&lt;FQL&gt;&lt;Q&gt;GE-US^FF_LIABS_CURR_OTH(ANN_R,-9,0,Y,RP,USD,M)&lt;/Q&gt;&lt;R&gt;10&lt;/R&gt;&lt;C&gt;1&lt;/C&gt;&lt;D xsi:type="xsd:double"&gt;26995&lt;/D&gt;&lt;D xsi:type="xsd:double"&gt;27752&lt;/D&gt;&lt;D xsi:type="xsd:double"&gt;28726&lt;/D&gt;&lt;D xsi:type="xsd:double"&gt;29177&lt;/D&gt;&lt;D xsi:type="xsd:double"&gt;41540&lt;/D&gt;&lt;D xsi:type="xsd:double"&gt;36431&lt;/D&gt;&lt;D xsi:type="xsd:double"&gt;40088&lt;/D&gt;&lt;D xsi:type="xsd:double"&gt;33346&lt;/D&gt;&lt;D xsi:type="xsd:double"&gt;37439&lt;/D&gt;&lt;D xsi:type="xsd:double"&gt;34402&lt;/D&gt;&lt;/FQL&gt;&lt;FQL&gt;&lt;Q&gt;GE-US^FF_PAY_DIV(ANN_R,-9,0,Y,RP,USD,M)&lt;/Q&gt;&lt;R&gt;10&lt;/R&gt;&lt;C&gt;1&lt;/C&gt;&lt;D xsi:type="xsd:double"&gt;1797&lt;/D&gt;&lt;D xsi:type="xsd:double"&gt;1980&lt;/D&gt;&lt;D xsi:type="xsd:double"&gt;2220&lt;/D&gt;&lt;D xsi:type="xsd:double"&gt;2317&lt;/D&gt;&lt;D xsi:type="xsd:double"&gt;2167&lt;/D&gt;&lt;D xsi:type="xsd:double"&gt;2107&lt;/D&gt;&lt;D xsi:type="xsd:double"&gt;1052&lt;/D&gt;&lt;D xsi:type="xsd:double"&gt;0&lt;/D&gt;&lt;D xsi:type="xsd:double"&gt;0&lt;/D&gt;&lt;D xsi:type="xsd:double"&gt;0&lt;/D&gt;&lt;/FQL&gt;&lt;FQL&gt;&lt;Q&gt;GE-US^FF_ACCR_PAYR(ANN_R,-9,0,Y,RP,USD,M)&lt;/Q&gt;&lt;R&gt;10&lt;/R&gt;&lt;C&gt;1&lt;/C&gt;&lt;D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xsi:type="xsd:double"&gt;5114&lt;/D&gt;&lt;D xsi:type="xsd:double"&gt;4763&lt;/D&gt;&lt;/FQL&gt;&lt;FQL&gt;&lt;Q&gt;GE-US^FF_LIABS_CURR_MISC(ANN_R,-9,0,Y,RP,USD,M)&lt;/Q&gt;&lt;R&gt;10&lt;/R&gt;&lt;C&gt;1&lt;/C&gt;&lt;D xsi:type="xsd:double"&gt;25198&lt;/D&gt;&lt;D xsi:type="xsd:double"&gt;25772&lt;/D&gt;&lt;D xsi:type="xsd:double"&gt;26506&lt;/D&gt;&lt;D xsi:type="xsd:double"&gt;26860&lt;/D&gt;&lt;D xsi:type="xsd:double"&gt;39373&lt;/D&gt;&lt;D xsi:type="xsd:double"&gt;34324&lt;/D&gt;&lt;D xsi:type="xsd:double"&gt;39036&lt;/D&gt;&lt;D xsi:type="xsd:double"&gt;33346&lt;/D&gt;&lt;D xsi:type="xsd:double"&gt;32325&lt;/D&gt;&lt;D xsi:type="xsd:double"&gt;29639&lt;/D&gt;&lt;/FQL&gt;&lt;FQL&gt;&lt;Q&gt;GE-US^FF_LIABS_CURR(ANN_R,-9,0,Y,RP,USD,M)&lt;/Q&gt;&lt;R&gt;10&lt;/R&gt;&lt;C&gt;1&lt;/C&gt;&lt;D xsi:type="xsd:double"&gt;191720&lt;/D&gt;&lt;D xsi:type="xsd:double"&gt;153914&lt;/D&gt;&lt;D xsi:type="xsd:double"&gt;132134&lt;/D&gt;&lt;D xsi:type="xsd:double"&gt;111669&lt;/D&gt;&lt;D xsi:type="xsd:double"&gt;105080&lt;/D&gt;&lt;D xsi:type="xsd:double"&gt;81580&lt;/D&gt;&lt;D xsi:type="xsd:double"&gt;79296&lt;/D&gt;&lt;D xsi:type="xsd:double"&gt;60451&lt;/D&gt;&lt;D xsi:type="xsd:double"&gt;78866&lt;/D&gt;&lt;D xsi:type="xsd:double"&gt;56069&lt;/D&gt;&lt;/FQL&gt;&lt;FQL&gt;&lt;Q&gt;GE-US^ZAV(FF_CASH_ST(ANN_R,-9,0,Y,RP))/FF_LIABS_CURR(ANN_R,-9,0,Y,RP)&lt;/Q&gt;&lt;R&gt;10&lt;/R&gt;&lt;C&gt;1&lt;/C&gt;&lt;D xsi:type="xsd:double"&gt;0.440752138535364&lt;/D&gt;&lt;D xsi:type="xsd:double"&gt;0.502592356770664&lt;/D&gt;&lt;D xsi:type="xsd:double"&gt;0.670190866847291&lt;/D&gt;&lt;D xsi:type="xsd:double"&gt;0.627076449148824&lt;/D&gt;&lt;D xsi:type="xsd:double"&gt;0.670755614769699&lt;/D&gt;&lt;D xsi:type="xsd:double"&gt;0.589960774699681&lt;/D&gt;&lt;D xsi:type="xsd:double"&gt;0.554466807909605&lt;/D&gt;&lt;D xsi:type="xsd:double"&gt;0.514863277695985&lt;/D&gt;&lt;D xsi:type="xsd:double"&gt;0.579451221058504&lt;/D&gt;&lt;D xsi:type="xsd:double"&gt;0.783837771317484&lt;/D&gt;&lt;/FQL&gt;&lt;FQL&gt;&lt;Q&gt;GE-US^FF_DEBT_LT(ANN_R,-9,0,Y,RP,USD,M)&lt;/Q&gt;&lt;R&gt;10&lt;/R&gt;&lt;C&gt;1&lt;/C&gt;&lt;D xsi:type="xsd:double"&gt;305118&lt;/D&gt;&lt;D xsi:type="xsd:double"&gt;303573&lt;/D&gt;&lt;D xsi:type="xsd:double"&gt;296103&lt;/D&gt;&lt;D xsi:type="xsd:double"&gt;190999&lt;/D&gt;&lt;D xsi:type="xsd:double"&gt;147742&lt;/D&gt;&lt;D xsi:type="xsd:double"&gt;105497&lt;/D&gt;&lt;D xsi:type="xsd:double"&gt;110555&lt;/D&gt;&lt;D xsi:type="xsd:double"&gt;90824&lt;/D&gt;&lt;D xsi:type="xsd:double"&gt;70848&lt;/D&gt;&lt;D xsi:type="xsd:double"&gt;73642&lt;/D&gt;&lt;/FQL&gt;&lt;FQL&gt;&lt;Q&gt;GE-US^FF_DEBT_LT_REVOLV_TOT(ANN_R,-9,0,Y,RP,USD,M)&lt;/Q&gt;&lt;R&gt;0&lt;/R&gt;&lt;C&gt;0&lt;/C&gt;&lt;/FQL&gt;&lt;FQL&gt;&lt;Q&gt;GE-US^FF_DEBT_LT_REVOLV_SECURE_CP(ANN_R,-9,0,Y,RP,USD,M)&lt;/Q&gt;&lt;R&gt;0&lt;/R&gt;&lt;C&gt;0&lt;/C&gt;&lt;/FQL&gt;&lt;FQL&gt;&lt;Q&gt;GE-US^FF_DEBT_LT_REVOLV_UNSECURE_CP(ANN_R,-9,0,Y,RP,USD,M)&lt;/Q&gt;&lt;R&gt;0&lt;/R&gt;&lt;C&gt;0&lt;/C&gt;&lt;/FQL&gt;&lt;FQL&gt;&lt;Q&gt;GE-US^FF_DEBT_LT_REVOLV_SECURE_CURR(ANN_R,-9,0,Y,RP,USD,M)&lt;/Q&gt;&lt;R&gt;0&lt;/R&gt;&lt;C&gt;0&lt;/C&gt;&lt;/FQL&gt;&lt;FQL&gt;&lt;Q&gt;GE-US^FF_DEBT_LT_REVOLV_UNSECURE_CURR(ANN_R,-9,0,Y,RP,USD,M)&lt;/Q&gt;&lt;R&gt;0&lt;/R&gt;&lt;C&gt;0&lt;/C&gt;&lt;/FQL&gt;&lt;FQL&gt;&lt;Q&gt;GE-US^FF_DEBT_LT_REVOLV_SECURE(ANN_R,-9,0,Y,RP,USD,M)&lt;/Q&gt;&lt;R&gt;0&lt;/R&gt;&lt;C&gt;0&lt;/C&gt;&lt;/FQL&gt;&lt;FQL&gt;&lt;Q&gt;GE-US^FF_DEBT_LT_REVOLV_UNSECURE(ANN_R,-9,0,Y,RP,USD,M)&lt;/Q&gt;&lt;R&gt;0&lt;/R&gt;&lt;C&gt;0&lt;/C&gt;&lt;/FQL&gt;&lt;FQL&gt;&lt;Q&gt;GE-US^FF_DEBT_SECURE_FACIL_SWING_SUBORD(ANN_R,-9,0,Y,RP,USD,M)&lt;/Q&gt;&lt;R&gt;0&lt;/R&gt;&lt;C&gt;0&lt;/C&gt;&lt;/FQL&gt;&lt;FQL&gt;&lt;Q&gt;GE-US^FF_DEBT_UNSECURE_FACIL_SWING_SUBORD(ANN_R,-9,0,Y,RP,USD,M)&lt;/Q&gt;&lt;R&gt;0&lt;/R&gt;&lt;C&gt;0&lt;/C&gt;&lt;/FQL&gt;&lt;FQL&gt;&lt;Q&gt;GE-US^FF_DEBT_LT_REVOLV_SECURE_FACIL_OTH(ANN_R,-9,0,Y,RP,USD,M)&lt;/Q&gt;&lt;R&gt;0&lt;/R&gt;&lt;C&gt;0&lt;/C&gt;&lt;/FQL&gt;&lt;FQL&gt;&lt;Q&gt;GE-US^FF_DEBT_LT_REVOLV_UNSECURE_FACIL_OTH(ANN_R,-9,0,Y,RP,USD,M)&lt;/Q&gt;&lt;R&gt;0&lt;/R&gt;&lt;C&gt;0&lt;/C&gt;&lt;/FQL&gt;&lt;FQL&gt;&lt;Q&gt;GE-US^FF_DEBT_LT_REVOLV_FACIL_DIP(ANN_R,-9,0,Y,RP,USD,M)&lt;/Q&gt;&lt;R&gt;0&lt;/R&gt;&lt;C&gt;0&lt;/C&gt;&lt;/FQL&gt;&lt;FQL&gt;&lt;Q&gt;GE-US^FF_DEBT_LT_REVOLV_FACIL_AB(ANN_R,-9,0,Y,RP,USD,M)&lt;/Q&gt;&lt;R&gt;0&lt;/R&gt;&lt;C&gt;0&lt;/C&gt;&lt;/FQL&gt;&lt;FQL&gt;&lt;Q&gt;GE-US^FF_DEBT_LOAN_TOT(ANN_R,-9,0,Y,RP,USD,M)&lt;/Q&gt;&lt;R&gt;0&lt;/R&gt;&lt;C&gt;0&lt;/C&gt;&lt;/FQL&gt;&lt;FQL&gt;&lt;Q&gt;GE-US^FF_DEBT_LT_REPOS(ANN_R,-9,0,Y,RP,USD,M)&lt;/Q&gt;&lt;R&gt;0&lt;/R&gt;&lt;C&gt;0&lt;/C&gt;&lt;/FQL&gt;&lt;FQL&gt;&lt;Q&gt;GE-US^FF_DEBT_LOAN_ADV_FHLB(ANN_R,-9,0,Y,RP,USD,M)&lt;/Q&gt;&lt;R&gt;0&lt;/R&gt;&lt;C&gt;0&lt;/C&gt;&lt;/FQL&gt;&lt;FQL&gt;&lt;Q&gt;GE-US^FF_DEBT_LOAN_ADV_FFCB(ANN_R,-9,0,Y,RP,USD,M)&lt;/Q&gt;&lt;R&gt;0&lt;/R&gt;&lt;C&gt;0&lt;/C&gt;&lt;/FQL&gt;&lt;FQL&gt;&lt;Q&gt;GE-US^FF_DEBT_LOAN_SECURE_LIEN1(ANN_R,-9,0,Y,RP,USD,M)&lt;/Q&gt;&lt;R&gt;0&lt;/R&gt;&lt;C&gt;0&lt;/C&gt;&lt;/FQL&gt;&lt;FQL&gt;&lt;Q&gt;GE-US^FF_DEBT_LOAN_SECURE_LIEN2(ANN_R,-9,0,Y,RP,USD,M)&lt;/Q&gt;&lt;R&gt;0&lt;/R&gt;&lt;C&gt;0&lt;/C&gt;&lt;/FQL&gt;&lt;FQL&gt;&lt;Q&gt;GE-US^FF_DEBT_LOAN_SECURE_LIEN3(ANN_R,-9,0,Y,RP,USD,M)&lt;/Q&gt;&lt;R&gt;0&lt;/R&gt;&lt;C&gt;0&lt;/C&gt;&lt;/FQL&gt;&lt;FQL&gt;&lt;Q&gt;GE-US^FF_DEBT_LOAN_SECURE_DELAY_DRAW(ANN_R,-9,0,Y,RP,USD,M)&lt;/Q&gt;&lt;R&gt;0&lt;/R&gt;&lt;C&gt;0&lt;/C&gt;&lt;/FQL&gt;&lt;FQL&gt;&lt;Q&gt;GE-US^FF_DEBT_LOAN_UNSECURE(ANN_R,-9,0,Y,RP,USD,M)&lt;/Q&gt;&lt;R&gt;0&lt;/R&gt;&lt;C&gt;0&lt;/C&gt;&lt;/FQL&gt;&lt;FQL&gt;&lt;Q&gt;GE-US^FF_DEBT_LOAN_UNSECURE_DELAY_DRAW(ANN_R,-9,0,Y,RP,USD,M)&lt;/Q&gt;&lt;R&gt;0&lt;/R&gt;&lt;C&gt;0&lt;/C&gt;&lt;/FQL&gt;&lt;FQL&gt;&lt;Q&gt;GE-US^FF_DEBT_LOAN_FACIL_DIP(ANN_R,-9,0,Y,RP,USD,M)&lt;/Q&gt;&lt;R&gt;0&lt;/R&gt;&lt;C&gt;0&lt;/C&gt;&lt;/FQL&gt;&lt;FQL&gt;&lt;Q&gt;GE-US^FF_DEBT_LOAN_SECURE_PLACE_PRIV(ANN_R,-9,0,Y,RP,USD,M)&lt;/Q&gt;&lt;R&gt;0&lt;/R&gt;&lt;C&gt;0&lt;/C&gt;&lt;/FQL&gt;&lt;FQL&gt;&lt;Q&gt;GE-US^FF_DEBT_LOAN_UNSECURE_PLACE_PRIV(ANN_R,-9,0,Y,RP,USD,M)&lt;/Q&gt;&lt;R&gt;0&lt;/R&gt;&lt;C&gt;0&lt;/C&gt;&lt;/FQL&gt;&lt;FQL&gt;&lt;Q&gt;GE-US^FF_DEBT_LOAN_MTGE(ANN_R,-9,0,Y,RP,USD,M)&lt;/Q&gt;&lt;R&gt;0&lt;/R&gt;&lt;C&gt;0&lt;/C&gt;&lt;/FQL&gt;&lt;FQL&gt;&lt;Q&gt;GE-US^FF_DEBT_LOAN_OTH(ANN_R,-9,0,Y,RP,USD,M)&lt;/Q&gt;&lt;R&gt;0&lt;/R&gt;&lt;C&gt;0&lt;/C&gt;&lt;/FQL&gt;&lt;FQL&gt;&lt;Q&gt;GE-US^FF_DEBT_NOTES_BONDS_TOT(ANN_R,-9,0,Y,RP,USD,M)&lt;/Q&gt;&lt;R&gt;0&lt;/R&gt;&lt;C&gt;0&lt;/C&gt;&lt;/FQL&gt;&lt;FQL&gt;&lt;Q&gt;GE-US^FF_DEBT_GTD_FDIC(ANN_R,-9,0,Y,RP,USD,M)&lt;/Q&gt;&lt;R&gt;0&lt;/R&gt;&lt;C&gt;0&lt;/C&gt;&lt;/FQL&gt;&lt;FQL&gt;&lt;Q&gt;GE-US^FF_DEBT_BONDS_MTGE1(ANN_R,-9,0,Y,RP,USD,M)&lt;/Q&gt;&lt;R&gt;0&lt;/R&gt;&lt;C&gt;0&lt;/C&gt;&lt;/FQL&gt;&lt;FQL&gt;&lt;Q&gt;GE-US^FF_DEBT_BONDS_MUNI(ANN_R,-9,0,Y,RP,USD,M)&lt;/Q&gt;&lt;R&gt;0&lt;/R&gt;&lt;C&gt;0&lt;/C&gt;&lt;/FQL&gt;&lt;FQL&gt;&lt;Q&gt;GE-US^FF_DEBT_BONDS_SECURE_LIEN1(ANN_R,-9,0,Y,RP,USD,M)&lt;/Q&gt;&lt;R&gt;0&lt;/R&gt;&lt;C&gt;0&lt;/C&gt;&lt;/FQL&gt;&lt;FQL&gt;&lt;Q&gt;GE-US^FF_DEBT_BONDS_SECURE_LIEN2(ANN_R,-9,0,Y,RP,USD,M)&lt;/Q&gt;&lt;R&gt;0&lt;/R&gt;&lt;C&gt;0&lt;/C&gt;&lt;/FQL&gt;&lt;FQL&gt;&lt;Q&gt;GE-US^FF_DEBT_BONDS_SECURE_LIEN3(ANN_R,-9,0,Y,RP,USD,M)&lt;/Q&gt;&lt;R&gt;0&lt;/R&gt;&lt;C&gt;0&lt;/C&gt;&lt;/FQL&gt;&lt;FQL&gt;&lt;Q&gt;GE-US^FF_DEBT_BONDS_UNSECURE_SR(ANN_R,-9,0,Y,RP,USD,M)&lt;/Q&gt;&lt;R&gt;0&lt;/R&gt;&lt;C&gt;0&lt;/C&gt;&lt;/FQL&gt;&lt;FQL&gt;&lt;Q&gt;GE-US^FF_DEBT_NOTES_SURPLUS_SR(ANN_R,-9,0,Y,RP,USD,M)&lt;/Q&gt;&lt;R&gt;0&lt;/R&gt;&lt;C&gt;0&lt;/C&gt;&lt;/FQL&gt;&lt;FQL&gt;&lt;Q&gt;GE-US^FF_DEBT_BONDS_SUBORD_SR(ANN_R,-9,0,Y,RP,USD,M)&lt;/Q&gt;&lt;R&gt;0&lt;/R&gt;&lt;C&gt;0&lt;/C&gt;&lt;/FQL&gt;&lt;FQL&gt;&lt;Q&gt;GE-US^FF_DEBT_BONDS_SUBORD(ANN_R,-9,0,Y,RP,USD,M)&lt;/Q&gt;&lt;R&gt;0&lt;/R&gt;&lt;C&gt;0&lt;/C&gt;&lt;/FQL&gt;&lt;FQL&gt;&lt;Q&gt;GE-US^FF_DEBT_NOTES_SURPLUS_SUBORD(ANN_R,-9,0,Y,RP,USD,M)&lt;/Q&gt;&lt;R&gt;0&lt;/R&gt;&lt;C&gt;0&lt;/C&gt;&lt;/FQL&gt;&lt;FQL&gt;&lt;Q&gt;GE-US^FF_DEBT_BONDS_JR(ANN_R,-9,0,Y,RP,USD,M)&lt;/Q&gt;&lt;R&gt;0&lt;/R&gt;&lt;C&gt;0&lt;/C&gt;&lt;/FQL&gt;&lt;FQL&gt;&lt;Q&gt;GE-US^FF_DEBT_BONDS_SUBORD_JR(ANN_R,-9,0,Y,RP,USD,M)&lt;/Q&gt;&lt;R&gt;0&lt;/R&gt;&lt;C&gt;0&lt;/C&gt;&lt;/FQL&gt;&lt;FQL&gt;&lt;Q&gt;GE-US^FF_DEBT_BONDS_CONV_SR(ANN_R,-9,0,Y,RP,USD,M)&lt;/Q&gt;&lt;R&gt;0&lt;/R&gt;&lt;C&gt;0&lt;/C&gt;&lt;/FQL&gt;&lt;FQL&gt;&lt;Q&gt;GE-US^FF_DEBT_BONDS_CONV_SUBORD_SR(ANN_R,-9,0,Y,RP,USD,M)&lt;/Q&gt;&lt;R&gt;0&lt;/R&gt;&lt;C&gt;0&lt;/C&gt;&lt;/FQL&gt;&lt;FQL&gt;&lt;Q&gt;GE-US^FF_DEBT_BONDS_CONV_SUBORD (ANN_R,-9,0,Y,RP,USD,M)&lt;/Q&gt;&lt;R&gt;0&lt;/R&gt;&lt;C&gt;0&lt;/C&gt;&lt;/FQL&gt;&lt;FQL&gt;&lt;Q&gt;GE-US^FF_DEBT_BONDS_CONV_JR(ANN_R,-9,0,Y,RP,USD,M)&lt;/Q&gt;&lt;R&gt;0&lt;/R&gt;&lt;C&gt;0&lt;/C&gt;&lt;/FQL&gt;&lt;FQL&gt;&lt;Q&gt;GE-US^FF_DEBT_BONDS_CONV_SUBORD_JR(ANN_R,-9,0,Y,RP,USD,M)&lt;/Q&gt;&lt;R&gt;0&lt;/R&gt;&lt;C&gt;0&lt;/C&gt;&lt;/FQL&gt;&lt;FQL&gt;&lt;Q&gt;GE-US^FF_DEBT_BONDS_COVERED(ANN_R,-9,0,Y,RP,USD,M)&lt;/Q&gt;&lt;R&gt;0&lt;/R&gt;&lt;C&gt;0&lt;/C&gt;&lt;/FQL&gt;&lt;FQL&gt;&lt;Q&gt;GE-US^FF_DEBT_RECEIV_EQUIP_TRUST(ANN_R,-9,0,Y,RP,USD,M)&lt;/Q&gt;&lt;R&gt;0&lt;/R&gt;&lt;C&gt;0&lt;/C&gt;&lt;/FQL&gt;&lt;FQL&gt;&lt;Q&gt;GE-US^FF_DEBT_RECEIV_MTGE_RES(ANN_R,-9,0,Y,RP,USD,M)&lt;/Q&gt;&lt;R&gt;0&lt;/R&gt;&lt;C&gt;0&lt;/C&gt;&lt;/FQL&gt;&lt;FQL&gt;&lt;Q&gt;GE-US^FF_DEBT_RECEIV_MTGE_COMML(ANN_R,-9,0,Y,RP,USD,M)&lt;/Q&gt;&lt;R&gt;0&lt;/R&gt;&lt;C&gt;0&lt;/C&gt;&lt;/FQL&gt;&lt;FQL&gt;&lt;Q&gt;GE-US^FF_DEBT_RECEIV_AUTO(ANN_R,-9,0,Y,RP,USD,M)&lt;/Q&gt;&lt;R&gt;0&lt;/R&gt;&lt;C&gt;0&lt;/C&gt;&lt;/FQL&gt;&lt;FQL&gt;&lt;Q&gt;GE-US^FF_DEBT_RECEIV_CR_CARD(ANN_R,-9,0,Y,RP,USD,M)&lt;/Q&gt;&lt;R&gt;0&lt;/R&gt;&lt;C&gt;0&lt;/C&gt;&lt;/FQL&gt;&lt;FQL&gt;&lt;Q&gt;GE-US^FF_DEBT_CDO(ANN_R,-9,0,Y,RP,USD,M)&lt;/Q&gt;&lt;R&gt;0&lt;/R&gt;&lt;C&gt;0&lt;/C&gt;&lt;/FQL&gt;&lt;FQL&gt;&lt;Q&gt;GE-US^FF_DEBT_RECEIV_OTH(ANN_R,-9,0,Y,RP,USD,M)&lt;/Q&gt;&lt;R&gt;0&lt;/R&gt;&lt;C&gt;0&lt;/C&gt;&lt;/FQL&gt;&lt;FQL&gt;&lt;Q&gt;GE-US^FF_DEBT_TRUST_PFD(ANN_R,-9,0,Y,RP,USD,M)&lt;/Q&gt;&lt;R&gt;0&lt;/R&gt;&lt;C&gt;0&lt;/C&gt;&lt;/FQL&gt;&lt;FQL&gt;&lt;Q&gt;GE-US^FF_DEBT_LT_STRAIGHT_PFD(ANN_R,-9,0,Y,RP,USD,M)&lt;/Q&gt;&lt;R&gt;0&lt;/R&gt;&lt;C&gt;0&lt;/C&gt;&lt;/FQL&gt;&lt;FQL&gt;&lt;Q&gt;GE-US^FF_DEBT_LT_CONV_PFD(ANN_R,-9,0,Y,RP,USD,M)&lt;/Q&gt;&lt;R&gt;0&lt;/R&gt;&lt;C&gt;0&lt;/C&gt;&lt;/FQL&gt;&lt;FQL&gt;&lt;Q&gt;GE-US^FF_DEBT_BONDS_OTH(ANN_R,-9,0,Y,RP,USD,M)&lt;/Q&gt;&lt;R&gt;0&lt;/R&gt;&lt;C&gt;0&lt;/C&gt;&lt;/FQL&gt;&lt;FQL&gt;&lt;Q&gt;GE-US^FF_DEBT_OTH_TOT(ANN_R,-9,0,Y,RP,USD,M)&lt;/Q&gt;&lt;R&gt;0&lt;/R&gt;&lt;C&gt;0&lt;/C&gt;&lt;/FQL&gt;&lt;FQL&gt;&lt;Q&gt;GE-US^FF_DEBT_OTH_ADJ(ANN_R,-9,0,Y,RP,USD,M)&lt;/Q&gt;&lt;R&gt;0&lt;/R&gt;&lt;C&gt;0&lt;/C&gt;&lt;/FQL&gt;&lt;FQL&gt;&lt;Q&gt;GE-US^FF_DEBT_OTH_CAPL(ANN_R,-9,0,Y,RP,USD,M)&lt;/Q&gt;&lt;R&gt;0&lt;/R&gt;&lt;C&gt;0&lt;/C&gt;&lt;/FQL&gt;&lt;FQL&gt;&lt;Q&gt;GE-US^-FF_DEBT_OTH_LT_CURR(ANN_R,-9,0,Y,RP,USD,M)&lt;/Q&gt;&lt;R&gt;0&lt;/R&gt;&lt;C&gt;0&lt;/C&gt;&lt;/FQL&gt;&lt;FQL&gt;&lt;Q&gt;GE-US^PCTCHG(FF_DEBT_LT(ANN_R,-9,0,Y,RP,LOCAL,M),FF_DEBT_LT(ANN_R,-9-1,0-1,Y,RP,LOCAL,M))&lt;/Q&gt;&lt;R&gt;10&lt;/R&gt;&lt;C&gt;1&lt;/C&gt;&lt;D xsi:type="xsd:double"&gt;-12.868737&lt;/D&gt;&lt;D xsi:type="xsd:double"&gt;-0.5063615&lt;/D&gt;&lt;D xsi:type="xsd:double"&gt;-2.4606931&lt;/D&gt;&lt;D xsi:type="xsd:double"&gt;-35.495758&lt;/D&gt;&lt;D xsi:type="xsd:double"&gt;-22.647762&lt;/D&gt;&lt;D xsi:type="xsd:double"&gt;-28.593765&lt;/D&gt;&lt;D xsi:type="xsd:double"&gt;4.7944493&lt;/D&gt;&lt;D xsi:type="xsd:double"&gt;-17.847225&lt;/D&gt;&lt;D xsi:type="xsd:double"&gt;-21.994186&lt;/D&gt;&lt;D xsi:type="xsd:double"&gt;3.943654&lt;/D&gt;&lt;/FQL&gt;&lt;FQL&gt;&lt;Q&gt;GE-US^FF_PROV_RISK(ANN_R,-9,0,Y,RP,USD,M)&lt;/Q&gt;&lt;R&gt;10&lt;/R&gt;&lt;C&gt;1&lt;/C&gt;&lt;D xsi:type="xsd:double"&gt;69204&lt;/D&gt;&lt;D xsi:type="xsd:double"&gt;67728&lt;/D&gt;&lt;D xsi:type="xsd:double"&gt;54397&lt;/D&gt;&lt;D xsi:type="xsd:double"&gt;69670&lt;/D&gt;&lt;D xsi:type="xsd:double"&gt;66179&lt;/D&gt;&lt;D xsi:type="xsd:double"&gt;69866&lt;/D&gt;&lt;D xsi:type="xsd:double"&gt;79766&lt;/D&gt;&lt;D xsi:type="xsd:double"&gt;69458&lt;/D&gt;&lt;D xsi:type="xsd:double"&gt;74460&lt;/D&gt;&lt;D xsi:type="xsd:double"&gt;75010&lt;/D&gt;&lt;/FQL&gt;&lt;FQL&gt;&lt;Q&gt;GE-US^FF_DFD_TAX_CR(ANN_R,-9,0,Y,RP,USD,M)&lt;/Q&gt;&lt;R&gt;10&lt;/R&gt;&lt;C&gt;1&lt;/C&gt;&lt;D xsi:type="xsd:double"&gt;30557&lt;/D&gt;&lt;D xsi:type="xsd:double"&gt;31855&lt;/D&gt;&lt;D xsi:type="xsd:double"&gt;28233&lt;/D&gt;&lt;D xsi:type="xsd:double"&gt;21808&lt;/D&gt;&lt;D xsi:type="xsd:double"&gt;22077&lt;/D&gt;&lt;D xsi:type="xsd:double"&gt;24366&lt;/D&gt;&lt;D xsi:type="xsd:double"&gt;13370&lt;/D&gt;&lt;D xsi:type="xsd:double"&gt;8576&lt;/D&gt;&lt;D xsi:type="xsd:double"&gt;1499&lt;/D&gt;&lt;D xsi:type="xsd:double"&gt;1598&lt;/D&gt;&lt;/FQL&gt;&lt;FQL&gt;&lt;Q&gt;GE-US^FF_LIABS_OTH(ANN_R,-9,0,Y,RP,USD,M)&lt;/Q&gt;&lt;R&gt;10&lt;/R&gt;&lt;C&gt;1&lt;/C&gt;&lt;D xsi:type="xsd:double"&gt;33197&lt;/D&gt;&lt;D xsi:type="xsd:double"&gt;31718&lt;/D&gt;&lt;D xsi:type="xsd:double"&gt;37143&lt;/D&gt;&lt;D xsi:type="xsd:double"&gt;145685&lt;/D&gt;&lt;D xsi:type="xsd:double"&gt;70960&lt;/D&gt;&lt;D xsi:type="xsd:double"&gt;27724&lt;/D&gt;&lt;D xsi:type="xsd:double"&gt;22739&lt;/D&gt;&lt;D xsi:type="xsd:double"&gt;38480&lt;/D&gt;&lt;D xsi:type="xsd:double"&gt;10703&lt;/D&gt;&lt;D xsi:type="xsd:double"&gt;11170&lt;/D&gt;&lt;/FQL&gt;&lt;FQL&gt;&lt;Q&gt;GE-US^FF_DFD_TAX_RSRV(ANN_R,-9,0,Y,RP,USD,M)&lt;/Q&gt;&lt;R&gt;10&lt;/R&gt;&lt;C&gt;1&lt;/C&gt;&lt;D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xsi:type="xsd:string"&gt;@NA&lt;/D&gt;&lt;/FQL&gt;&lt;FQL&gt;&lt;Q&gt;GE-US^FF_LIABS_OTH_XDFD_REV(ANN_R,-9,0,Y,RP,USD,M)&lt;/Q&gt;&lt;R&gt;10&lt;/R&gt;&lt;C&gt;1&lt;/C&gt;&lt;D xsi:type="xsd:double"&gt;33197&lt;/D&gt;&lt;D xsi:type="xsd:double"&gt;31718&lt;/D&gt;&lt;D xsi:type="xsd:double"&gt;37143&lt;/D&gt;&lt;D xsi:type="xsd:double"&gt;145685&lt;/D&gt;&lt;D xsi:type="xsd:double"&gt;70960&lt;/D&gt;&lt;D xsi:type="xsd:double"&gt;27724&lt;/D&gt;&lt;D xsi:type="xsd:double"&gt;22739&lt;/D&gt;&lt;D xsi:ty</t>
        </r>
      </text>
    </comment>
    <comment ref="A4" authorId="0" shapeId="0">
      <text>
        <r>
          <rPr>
            <sz val="10"/>
            <rFont val="Arial"/>
            <family val="2"/>
          </rPr>
          <t>pe="xsd:double"&gt;38480&lt;/D&gt;&lt;D xsi:type="xsd:double"&gt;9148&lt;/D&gt;&lt;D xsi:type="xsd:double"&gt;9369&lt;/D&gt;&lt;/FQL&gt;&lt;FQL&gt;&lt;Q&gt;GE-US^FF_DFD_INC(ANN_R,-9,0,Y,RP,USD,M)&lt;/Q&gt;&lt;R&gt;10&lt;/R&gt;&lt;C&gt;1&lt;/C&gt;&lt;D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xsi:type="xsd:double"&gt;1555&lt;/D&gt;&lt;D xsi:type="xsd:double"&gt;1801&lt;/D&gt;&lt;/FQL&gt;&lt;FQL&gt;&lt;Q&gt;GE-US^FF_LIABS(ANN_R,-9,0,Y,RP,USD,M)&lt;/Q&gt;&lt;R&gt;10&lt;/R&gt;&lt;C&gt;1&lt;/C&gt;&lt;D xsi:type="xsd:double"&gt;629796&lt;/D&gt;&lt;D xsi:type="xsd:double"&gt;588788&lt;/D&gt;&lt;D xsi:type="xsd:double"&gt;548010&lt;/D&gt;&lt;D xsi:type="xsd:double"&gt;539831&lt;/D&gt;&lt;D xsi:type="xsd:double"&gt;412038&lt;/D&gt;&lt;D xsi:type="xsd:double"&gt;309033&lt;/D&gt;&lt;D xsi:type="xsd:double"&gt;305726&lt;/D&gt;&lt;D xsi:type="xsd:double"&gt;267789&lt;/D&gt;&lt;D xsi:type="xsd:double"&gt;236376&lt;/D&gt;&lt;D xsi:type="xsd:double"&gt;217489&lt;/D&gt;&lt;/FQL&gt;&lt;FQL&gt;&lt;Q&gt;GE-US^FF_LIABS_ASSETS(ANN_R,-9,0,Y,RP,LOCAL,M)&lt;/Q&gt;&lt;R&gt;10&lt;/R&gt;&lt;C&gt;1&lt;/C&gt;&lt;D xsi:type="xsd:double"&gt;84.20520636958&lt;/D&gt;&lt;D xsi:type="xsd:double"&gt;82.088732366875&lt;/D&gt;&lt;D xsi:type="xsd:double"&gt;80.0256427854841&lt;/D&gt;&lt;D xsi:type="xsd:double"&gt;79.7667422225243&lt;/D&gt;&lt;D xsi:type="xsd:double"&gt;79.9843928346805&lt;/D&gt;&lt;D xsi:type="xsd:double"&gt;79.3309699164932&lt;/D&gt;&lt;D xsi:type="xsd:double"&gt;79.9043424852659&lt;/D&gt;&lt;D xsi:type="xsd:double"&gt;83.7762163379718&lt;/D&gt;&lt;D xsi:type="xsd:double"&gt;88.6378976735814&lt;/D&gt;&lt;D xsi:type="xsd:double"&gt;85.2730837090766&lt;/D&gt;&lt;/FQL&gt;&lt;FQL&gt;&lt;Q&gt;GE-US^FF_RSRV_NONEQ(ANN_R,-9,0,Y,RP,USD,M)&lt;/Q&gt;&lt;R&gt;10&lt;/R&gt;&lt;C&gt;1&lt;/C&gt;&lt;D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xsi:type="xsd:double"&gt;0&lt;/D&gt;&lt;/FQL&gt;&lt;FQL&gt;&lt;Q&gt;GE-US^FF_PFD_STK(ANN_R,-9,0,Y,RP,USD,M)&lt;/Q&gt;&lt;R&gt;10&lt;/R&gt;&lt;C&gt;1&lt;/C&gt;&lt;D xsi:type="xsd:double"&gt;0&lt;/D&gt;&lt;D xsi:type="xsd:double"&gt;0&lt;/D&gt;&lt;D xsi:type="xsd:double"&gt;0&lt;/D&gt;&lt;D xsi:type="xsd:double"&gt;0&lt;/D&gt;&lt;D xsi:type="xsd:double"&gt;6&lt;/D&gt;&lt;D xsi:type="xsd:double"&gt;6&lt;/D&gt;&lt;D xsi:type="xsd:double"&gt;6&lt;/D&gt;&lt;D xsi:type="xsd:double"&gt;6&lt;/D&gt;&lt;D xsi:type="xsd:double"&gt;6&lt;/D&gt;&lt;D xsi:type="xsd:double"&gt;6&lt;/D&gt;&lt;/FQL&gt;&lt;FQL&gt;&lt;Q&gt;GE-US^FF_PFD_STK_RED(ANN_R,-9,0,Y,RP,USD,M)&lt;/Q&gt;&lt;R&gt;10&lt;/R&gt;&lt;C&gt;1&lt;/C&gt;&lt;D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xsi:type="xsd:double"&gt;0&lt;/D&gt;&lt;/FQL&gt;&lt;FQL&gt;&lt;Q&gt;GE-US^FF_PFD_STK_NRED(ANN_R,-9,0,Y,RP,USD,M)&lt;/Q&gt;&lt;R&gt;10&lt;/R&gt;&lt;C&gt;1&lt;/C&gt;&lt;D xsi:type="xsd:double"&gt;0&lt;/D&gt;&lt;D xsi:type="xsd:double"&gt;0&lt;/D&gt;&lt;D xsi:type="xsd:double"&gt;0&lt;/D&gt;&lt;D xsi:type="xsd:double"&gt;0&lt;/D&gt;&lt;D xsi:type="xsd:double"&gt;6&lt;/D&gt;&lt;D xsi:type="xsd:double"&gt;6&lt;/D&gt;&lt;D xsi:type="xsd:double"&gt;6&lt;/D&gt;&lt;D xsi:type="xsd:double"&gt;6&lt;/D&gt;&lt;D xsi:type="xsd:double"&gt;6&lt;/D&gt;&lt;D xsi:type="xsd:double"&gt;6&lt;/D&gt;&lt;/FQL&gt;&lt;FQL&gt;&lt;Q&gt;GE-US^FF_PFD_STK_ESOP(ANN_R,-9,0,Y,RP,USD,M)&lt;/Q&gt;&lt;R&gt;10&lt;/R&gt;&lt;C&gt;1&lt;/C&gt;&lt;D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xsi:type="xsd:double"&gt;0&lt;/D&gt;&lt;/FQL&gt;&lt;FQL&gt;&lt;Q&gt;GE-US^FF_PFD_STK_ESOP_GTD(ANN_R,-9,0,Y,RP,USD,M)&lt;/Q&gt;&lt;R&gt;10&lt;/R&gt;&lt;C&gt;1&lt;/C&gt;&lt;D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xsi:type="xsd:double"&gt;0&lt;/D&gt;&lt;/FQL&gt;&lt;FQL&gt;&lt;Q&gt;GE-US^FF_COM_EQ(ANN_R,-9,0,Y,RP,USD,M)&lt;/Q&gt;&lt;R&gt;10&lt;/R&gt;&lt;C&gt;1&lt;/C&gt;&lt;D xsi:type="xsd:double"&gt;116438&lt;/D&gt;&lt;D xsi:type="xsd:double"&gt;123026&lt;/D&gt;&lt;D xsi:type="xsd:double"&gt;130566&lt;/D&gt;&lt;D xsi:type="xsd:double"&gt;128159&lt;/D&gt;&lt;D xsi:type="xsd:double"&gt;98268&lt;/D&gt;&lt;D xsi:type="xsd:double"&gt;75822&lt;/D&gt;&lt;D xsi:type="xsd:double"&gt;56024&lt;/D&gt;&lt;D xsi:type="xsd:double"&gt;30975&lt;/D&gt;&lt;D xsi:type="xsd:double"&gt;28310&lt;/D&gt;&lt;D xsi:type="xsd:double"&gt;35546&lt;/D&gt;&lt;/FQL&gt;&lt;FQL&gt;&lt;Q&gt;GE-US^FF_COM_EQ_PAR(ANN_R,-9,0,Y,RP,USD,M)&lt;/Q&gt;&lt;R&gt;10&lt;/R&gt;&lt;C&gt;1&lt;/C&gt;&lt;D xsi:type="xsd:double"&gt;702&lt;/D&gt;&lt;D xsi:type="xsd:double"&gt;702&lt;/D&gt;&lt;D xsi:type="xsd:double"&gt;702&lt;/D&gt;&lt;D xsi:type="xsd:double"&gt;702&lt;/D&gt;&lt;D xsi:type="xsd:double"&gt;702&lt;/D&gt;&lt;D xsi:type="xsd:double"&gt;702&lt;/D&gt;&lt;D xsi:type="xsd:double"&gt;702&lt;/D&gt;&lt;D xsi:type="xsd:double"&gt;702&lt;/D&gt;&lt;D xsi:type="xsd:double"&gt;702&lt;/D&gt;&lt;D xsi:type="xsd:double"&gt;702&lt;/D&gt;&lt;/FQL&gt;&lt;FQL&gt;&lt;Q&gt;GE-US^FF_COM_EQ_APIC(ANN_R,-9,0,Y,RP,USD,M)&lt;/Q&gt;&lt;R&gt;10&lt;/R&gt;&lt;C&gt;1&lt;/C&gt;&lt;D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xsi:type="xsd:string"&gt;@NA&lt;/D&gt;&lt;/FQL&gt;&lt;FQL&gt;&lt;Q&gt;GE-US^FF_COM_EQ_RETAIN_EARN(ANN_R,-9,0,Y,RP,USD,M)&lt;/Q&gt;&lt;R&gt;10&lt;/R&gt;&lt;C&gt;1&lt;/C&gt;&lt;D xsi:type="xsd:double"&gt;137786&lt;/D&gt;&lt;D xsi:type="xsd:double"&gt;144055&lt;/D&gt;&lt;D xsi:type="xsd:double"&gt;149051&lt;/D&gt;&lt;D xsi:type="xsd:double"&gt;155333&lt;/D&gt;&lt;D xsi:type="xsd:double"&gt;140020&lt;/D&gt;&lt;D xsi:type="xsd:double"&gt;139532&lt;/D&gt;&lt;D xsi:type="xsd:double"&gt;117245&lt;/D&gt;&lt;D xsi:type="xsd:double"&gt;93109&lt;/D&gt;&lt;D xsi:type="xsd:double"&gt;87732&lt;/D&gt;&lt;D xsi:type="xsd:double"&gt;92247&lt;/D&gt;&lt;/FQL&gt;&lt;FQL&gt;&lt;Q&gt;GE-US^-FF_COM_STK_ESOP(ANN_R,-9,0,Y,RP,USD,M)&lt;/Q&gt;&lt;R&gt;10&lt;/R&gt;&lt;C&gt;1&lt;/C&gt;&lt;D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xsi:type="xsd:double"&gt;0&lt;/D&gt;&lt;/FQL&gt;&lt;FQL&gt;&lt;Q&gt;GE-US^FF_COM_EQ_FOR_EXCH(ANN_R,-9,0,Y,RP,USD,M)&lt;/Q&gt;&lt;R&gt;10&lt;/R&gt;&lt;C&gt;1&lt;/C&gt;&lt;D xsi:type="xsd:double"&gt;133&lt;/D&gt;&lt;D xsi:type="xsd:double"&gt;412&lt;/D&gt;&lt;D xsi:type="xsd:double"&gt;126&lt;/D&gt;&lt;D xsi:type="xsd:double"&gt;-2428&lt;/D&gt;&lt;D xsi:type="xsd:double"&gt;-5499&lt;/D&gt;&lt;D xsi:type="xsd:double"&gt;-6816&lt;/D&gt;&lt;D xsi:type="xsd:double"&gt;-4661&lt;/D&gt;&lt;D xsi:type="xsd:double"&gt;-6134&lt;/D&gt;&lt;D xsi:type="xsd:double"&gt;-4818&lt;/D&gt;&lt;D xsi:type="xsd:double"&gt;-4386&lt;/D&gt;&lt;/FQL&gt;&lt;FQL&gt;&lt;Q&gt;GE-US^FF_COM_EQ_GL(ANN_R,-9,0,Y,RP,USD,M)&lt;/Q&gt;&lt;R&gt;10&lt;/R&gt;&lt;C&gt;1&lt;/C&gt;&lt;D xsi:type="xsd:double"&gt;-30&lt;/D&gt;&lt;D xsi:type="xsd:double"&gt;677&lt;/D&gt;&lt;D xsi:type="xsd:double"&gt;307&lt;/D&gt;&lt;D xsi:type="xsd:double"&gt;1013&lt;/D&gt;&lt;D xsi:type="xsd:double"&gt;460&lt;/D&gt;&lt;D xsi:type="xsd:double"&gt;674&lt;/D&gt;&lt;D xsi:type="xsd:double"&gt;-102&lt;/D&gt;&lt;D xsi:type="xsd:double"&gt;-39&lt;/D&gt;&lt;D xsi:type="xsd:double"&gt;61&lt;/D&gt;&lt;D xsi:type="xsd:double"&gt;60&lt;/D&gt;&lt;/FQL&gt;&lt;FQL&gt;&lt;Q&gt;GE-US^FF_RSRV_REVAL(ANN_R,-9,0,Y,RP,USD,M)&lt;/Q&gt;&lt;R&gt;10&lt;/R&gt;&lt;C&gt;1&lt;/C&gt;&lt;D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xsi:type="xsd:double"&gt;0&lt;/D&gt;&lt;/FQL&gt;&lt;FQL&gt;&lt;Q&gt;GE-US^FF_RSRV_APPR_OTH(ANN_R,-9,0,Y,RP,USD,M)&lt;/Q&gt;&lt;R&gt;10&lt;/R&gt;&lt;C&gt;1&lt;/C&gt;&lt;D xsi:type="xsd:double"&gt;9616&lt;/D&gt;&lt;D xsi:type="xsd:double"&gt;11751&lt;/D&gt;&lt;D xsi:type="xsd:double"&gt;22941&lt;/D&gt;&lt;D xsi:type="xsd:double"&gt;16132&lt;/D&gt;&lt;D xsi:type="xsd:double"&gt;26124&lt;/D&gt;&lt;D xsi:type="xsd:double"&gt;24768&lt;/D&gt;&lt;D xsi:type="xsd:double"&gt;27742&lt;/D&gt;&lt;D xsi:type="xsd:double"&gt;27262&lt;/D&gt;&lt;D xsi:type="xsd:double"&gt;27430&lt;/D&gt;&lt;D xsi:type="xsd:double"&gt;28884&lt;/D&gt;&lt;/FQL&gt;&lt;FQL&gt;&lt;Q&gt;GE-US^FF_RSRV_UNAPPR(ANN_R,-9,0,Y,RP,USD,M)&lt;/Q&gt;&lt;R&gt;10&lt;/R&gt;&lt;C&gt;1&lt;/C&gt;&lt;D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xsi:type="xsd:string"&gt;@NA&lt;/D&gt;&lt;/FQL&gt;&lt;FQL&gt;&lt;Q&gt;GE-US^-FF_TREAS_STK(ANN_R,-9,0,Y,RP,USD,M)&lt;/Q&gt;&lt;R&gt;10&lt;/R&gt;&lt;C&gt;1&lt;/C&gt;&lt;D xsi:type="xsd:double"&gt;-31769&lt;/D&gt;&lt;D xsi:type="xsd:double"&gt;-34571&lt;/D&gt;&lt;D xsi:type="xsd:double"&gt;-42561&lt;/D&gt;&lt;D xsi:type="xsd:double"&gt;-42593&lt;/D&gt;&lt;D xsi:type="xsd:double"&gt;-63539&lt;/D&gt;&lt;D xsi:type="xsd:double"&gt;-83038&lt;/D&gt;&lt;D xsi:type="xsd:double"&gt;-84902&lt;/D&gt;&lt;D xsi:type="xsd:double"&gt;-83925&lt;/D&gt;&lt;D xsi:type="xsd:double"&gt;-82797&lt;/D&gt;&lt;D xsi:type="xsd:double"&gt;-81961&lt;/D&gt;&lt;/FQL&gt;&lt;FQL&gt;&lt;Q&gt;GE-US^FF_SHS_REPURCH(TOTAL_VAL_REPURCH,ANN_R,-9,0,Y,RP,USD,M)&lt;/Q&gt;&lt;R&gt;1&lt;/R&gt;&lt;C&gt;1&lt;/C&gt;&lt;D xsi:type="xsd:string"&gt;#NUM&lt;/D&gt;&lt;/FQL&gt;&lt;FQL&gt;&lt;Q&gt;GE-US^FF_COM_EQ_ASSETS(ANN_R,-9,0,Y,RP)&lt;/Q&gt;&lt;R&gt;10&lt;/R&gt;&lt;C&gt;1&lt;/C&gt;&lt;D xsi:type="xsd:double"&gt;15.5680344417258&lt;/D&gt;&lt;D xsi:type="xsd:double"&gt;17.1522659907593&lt;/D&gt;&lt;D xsi:type="xsd:double"&gt;19.0664916259366&lt;/D&gt;&lt;D xsi:type="xsd:double"&gt;18.9370857110772&lt;/D&gt;&lt;D xsi:type="xsd:double"&gt;19.0756831046612&lt;/D&gt;&lt;D xsi:type="xsd:double"&gt;19.4640468849875&lt;/D&gt;&lt;D xsi:type="xsd:double"&gt;14.642395096899&lt;/D&gt;&lt;D xsi:type="xsd:double"&gt;9.69034688156973&lt;/D&gt;&lt;D xsi:type="xsd:double"&gt;10.6158784442545&lt;/D&gt;&lt;D xsi:type="xsd:double"&gt;13.936875122525&lt;/D&gt;&lt;/FQL&gt;&lt;FQL&gt;&lt;Q&gt;GE-US^FF_SHLDRS_EQ(ANN_R,-9,0,Y,RP,USD,M)&lt;/Q&gt;&lt;R&gt;10&lt;/R&gt;&lt;C&gt;1&lt;/C&gt;&lt;D xsi:type="xsd:double"&gt;116438&lt;/D&gt;&lt;D xsi:type="xsd:double"&gt;123026&lt;/D&gt;&lt;D xsi:type="xsd:double"&gt;130566&lt;/D&gt;&lt;D xsi:type="xsd:double"&gt;128159&lt;/D&gt;&lt;D xsi:type="xsd:double"&gt;98274&lt;/D&gt;&lt;D xsi:type="xsd:double"&gt;75828&lt;/D&gt;&lt;D xsi:type="xsd:double"&gt;56030&lt;/D&gt;&lt;D xsi:type="xsd:double"&gt;30981&lt;/D&gt;&lt;D xsi:type="xsd:double"&gt;28316&lt;/D&gt;&lt;D xsi:type="xsd:double"&gt;35552&lt;/D&gt;&lt;/FQL&gt;&lt;FQL&gt;&lt;Q&gt;GE-US^(FF_SHLDRS_EQ(ANN_R,-9,0,Y,RP,LOCAL,M)/FF_ASSETS(ANN_R,-9,0-1,Y,RP,LOCAL,M))*100&lt;/Q&gt;&lt;R&gt;10&lt;/R&gt;&lt;C&gt;1&lt;/C&gt;&lt;D xsi:type="xsd:double"&gt;15.5680344417258&lt;/D&gt;&lt;D xsi:type="xsd:double"&gt;17.1522659907593&lt;/D&gt;&lt;D xsi:type="xsd:double"&gt;19.0664916259366&lt;/D&gt;&lt;D xsi:type="xsd:double"&gt;18.9370857110772&lt;/D&gt;&lt;D xsi:type="xsd:double"&gt;19.076847818491&lt;/D&gt;&lt;D xsi:type="xsd:double"&gt;19.4655871276784&lt;/D&gt;&lt;D xsi:type="xsd:double"&gt;14.6439632528782&lt;/D&gt;&lt;D xsi:type="xsd:double"&gt;9.69222394634098&lt;/D&gt;&lt;D xsi:type="xsd:double"&gt;10.6181283655072&lt;/D&gt;&lt;D xsi:type="xsd:string"&gt;@NA&lt;/D&gt;&lt;/FQL&gt;&lt;FQL&gt;&lt;Q&gt;GE-US^FF_MIN_INT_ACCUM(ANN_R,-9,0,Y,RP,USD,M)&lt;/Q&gt;&lt;R&gt;10&lt;/R&gt;&lt;C&gt;1&lt;/C&gt;&lt;D xsi:type="xsd:double"&gt;1696&lt;/D&gt;&lt;D xsi:type="xsd:double"&gt;5444&lt;/D&gt;&lt;D xsi:type="xsd:double"&gt;6217&lt;/D&gt;&lt;D xsi:type="xsd:double"&gt;8772&lt;/D&gt;&lt;D xsi:type="xsd:double"&gt;4836&lt;/D&gt;&lt;D xsi:type="xsd:double"&gt;4688&lt;/D&gt;&lt;D xsi:type="xsd:double"&gt;20859&lt;/D&gt;&lt;D xsi:type="xsd:double"&gt;20878&lt;/D&gt;&lt;D xsi:type="xsd:double"&gt;1984&lt;/D&gt;&lt;D xsi:type="xsd:double"&gt;2009&lt;/D&gt;&lt;/FQL&gt;&lt;FQL&gt;&lt;Q&gt;GE-US^FF_EQ_TOT(ANN_R,-9,0,Y,RP,USD,M)&lt;/Q&gt;&lt;R&gt;10&lt;/R&gt;&lt;C&gt;1&lt;/C&gt;&lt;D xsi:type="xsd:double"&gt;118134&lt;/D&gt;&lt;D xsi:type="xsd:double"&gt;128470&lt;/D&gt;&lt;D xsi:type="xsd:double"&gt;136783&lt;/D&gt;&lt;D xsi:type="xsd:double"&gt;136931&lt;/D&gt;&lt;D xsi:type="xsd:double"&gt;103110&lt;/D&gt;&lt;D xsi:type="xsd:double"&gt;80516&lt;/D&gt;&lt;D xsi:type="xsd:double"&gt;76889&lt;/D&gt;&lt;D xsi:type="xsd:double"&gt;51859&lt;/D&gt;&lt;D xsi:type="xsd:double"&gt;30300&lt;/D&gt;&lt;D xsi:type="xsd:double"&gt;37561&lt;/D&gt;&lt;/FQL&gt;&lt;FQL&gt;&lt;Q&gt;GE-US^FF_LIABS_SHLDRS_EQ(ANN_R,-9,0,Y,RP,USD,M)&lt;/Q&gt;&lt;R&gt;10&lt;/R&gt;&lt;C&gt;1&lt;/C&gt;&lt;D xsi:type="xsd:double"&gt;747930&lt;/D&gt;&lt;D xsi:type="xsd:double"&gt;717258&lt;/D&gt;&lt;D xsi:type="xsd:double"&gt;684793&lt;/D&gt;&lt;D xsi:type="xsd:double"&gt;676762&lt;/D&gt;&lt;D xsi:type="xsd:double"&gt;515148&lt;/D&gt;&lt;D xsi:type="xsd:double"&gt;389549&lt;/D&gt;&lt;D xsi:type="xsd:double"&gt;382615&lt;/D&gt;&lt;D xsi:type="xsd:double"&gt;319648&lt;/D&gt;&lt;D xsi:type="xsd:double"&gt;266676&lt;/D&gt;&lt;D xsi:type="xsd:double"&gt;255050&lt;/D&gt;&lt;/FQL&gt;&lt;FQL&gt;&lt;Q&gt;GE-US^FF_RECEIV_TURN_DAYS(ANN_R,-9,0,Y,RP)+FF_INVEN_DAYS(ANN_R,-9,0,Y,RP)-FF_PAY_TURN_DAYS(ANN_R,-9,0,Y,RP)&lt;/Q&gt;&lt;R&gt;10&lt;/R&gt;&lt;C&gt;1&lt;/C&gt;&lt;D xsi:type="xsd:double"&gt;812.086886456212&lt;/D&gt;&lt;D xsi:type="xsd:double"&gt;743.57560303463&lt;/D&gt;&lt;D xsi:type="xsd:double"&gt;719.585848977371&lt;/D&gt;&lt;D xsi:type="xsd:double"&gt;507.149547637353&lt;/D&gt;&lt;D xsi:type="xsd:double"&gt;177.382815668947&lt;/D&gt;&lt;D xsi:type="xsd:double"&gt;172.144047703753&lt;/D&gt;&lt;D xsi:type="xsd:double"&gt;152.440179399276&lt;/D&gt;&lt;D xsi:type="xsd:double"&gt;134.761770607622&lt;/D&gt;&lt;D xsi:type="xsd:double"&gt;113.452645059539&lt;/D&gt;&lt;D xsi:type="xsd:double"&gt;120.449762290529&lt;/D&gt;&lt;/FQL&gt;&lt;FQL&gt;&lt;Q&gt;GE-US^FF_BPS(ANN_R,-9,0,Y,RP,USD,M)&lt;/Q&gt;&lt;R&gt;10&lt;/R&gt;&lt;C&gt;1&lt;/C&gt;&lt;D xsi:type="xsd:double"&gt;11.01275&lt;/D&gt;&lt;D xsi:type="xsd:double"&gt;11.82303&lt;/D&gt;&lt;D xsi:type="xsd:double"&gt;12.97759&lt;/D&gt;&lt;D xsi:type="xsd:double"&gt;12.74278&lt;/D&gt;&lt;D xsi:type="xsd:double"&gt;10.47713&lt;/D&gt;&lt;D xsi:type="xsd:double"&gt;8.67269&lt;/D&gt;&lt;D xsi:type="xsd:double"&gt;6.45395&lt;/D&gt;&lt;D xsi:type="xsd:double"&gt;3.55943&lt;/D&gt;&lt;D xsi:type="xsd:double"&gt;3.23971&lt;/D&gt;&lt;D xsi:type="xsd:double"&gt;4.05522&lt;/D&gt;&lt;/FQL&gt;&lt;FQL&gt;&lt;Q&gt;GE-US^PCTCHG(FF_BPS(ANN_R,-9,0,Y,RP,LOCAL,M),FF_BPS(ANN_R,-9-1,0-1,Y,RP,LOCAL,M))&lt;/Q&gt;&lt;R&gt;10&lt;/R&gt;&lt;C&gt;1&lt;/C&gt;&lt;D xsi:type="xsd:double"&gt;-1.7081246&lt;/D&gt;&lt;D xsi:type="xsd:double"&gt;7.3576603&lt;/D&gt;&lt;D xsi:type="xsd:double"&gt;9.765341&lt;/D&gt;&lt;D xsi:type="xsd:double"&gt;-1.809349&lt;/D&gt;&lt;D xsi:type="xsd:double"&gt;-17.77987&lt;/D&gt;&lt;D xsi:type="xsd:double"&gt;-17.22265&lt;/D&gt;&lt;D xsi:type="xsd:double"&gt;-25.58307&lt;/D&gt;&lt;D xsi:type="xsd:double"&gt;-44.848812&lt;/D&gt;&lt;D xsi:type="xsd:double"&gt;-8.982331&lt;/D&gt;&lt;D xsi:type="xsd:double"&gt;25.172316&lt;/D&gt;&lt;/FQL&gt;&lt;FQL&gt;&lt;Q&gt;GE-US^FF_BPS_TANG(ANN_R,-9,0,Y,RP,USD,M)&lt;/Q&gt;&lt;R&gt;10&lt;/R&gt;&lt;C&gt;1&lt;/C&gt;&lt;D xsi:type="xsd:double"&gt;3.00245426636503&lt;/D&gt;&lt;D xsi:type="xsd:double"&gt;3.61266142110637&lt;/D&gt;&lt;D xsi:type="xsd:double"&gt;3.83743729798613&lt;/D&gt;&lt;D xsi:type="xsd:double"&gt;6.14175858921508&lt;/D&gt;&lt;D xsi:type="xsd:double"&gt;1.59340453134609&lt;/D&gt;&lt;D xsi:type="xsd:double"&gt;-1.26415280372667&lt;/D&gt;&lt;D xsi:type="xsd:double"&gt;-5.55458851727611&lt;/D&gt;&lt;D xsi:type="xsd:double"&gt;-1.74403632541417&lt;/D&gt;&lt;D xsi:type="xsd:double"&gt;-1.0387444706912&lt;/D&gt;&lt;D xsi:type="xsd:double"&gt;0.0282927611715622&lt;/D&gt;&lt;/FQL&gt;&lt;FQL&gt;&lt;Q&gt;GE-US^PCTCHG(FF_BPS_TANG(ANN_R,-9,0,Y,RP,LOCAL,M),FF_BPS_TANG(ANN_R,-9-1,0-1,Y,RP,LOCAL,M))&lt;/Q&gt;&lt;R&gt;10&lt;/R&gt;&lt;C&gt;1&lt;/C&gt;&lt;D xsi:type="xsd:double"&gt;-28.361027&lt;/D&gt;&lt;D xsi:type="xsd:double"&gt;20.323608&lt;/D&gt;&lt;D xsi:type="xsd:double"&gt;6.221896&lt;/D&gt;&lt;D xsi:type="xsd:double"&gt;60.04843&lt;/D&gt;&lt;D xsi:type="xsd:double"&gt;-74.05622&lt;/D&gt;&lt;D xsi:type="xsd:double"&gt;-179.3366&lt;/D&gt;&lt;D xsi:type="xsd:double"&gt;-339.39218&lt;/D&gt;&lt;D xsi:type="xsd:double"&gt;68.60188&lt;/D&gt;&lt;D xsi:type="xsd:double"&gt;40.44021&lt;/D&gt;&lt;D xsi:type="xsd:string"&gt;@NA&lt;/D&gt;&lt;/FQL&gt;&lt;FQL&gt;&lt;Q&gt;GE-US^CE_NAME();&lt;/Q&gt;&lt;R&gt;1&lt;/R&gt;&lt;C&gt;1&lt;/C&gt;&lt;D xsi:type="xsd:string"&gt;General Electric Company&lt;/D&gt;&lt;/FQL&gt;&lt;FQL&gt;&lt;Q&gt;GE-US^CE_TICKER_HEADER();&lt;/Q&gt;&lt;R&gt;1&lt;/R&gt;&lt;C&gt;1&lt;/C&gt;&lt;D xsi:type="xsd:string"&gt;GE   369604103   2380498   NYSE    Common stock    &lt;/D&gt;&lt;/FQL&gt;&lt;FQL&gt;&lt;Q&gt;GE-US^FF_SALES(ANN_R,-9,0,Y,RP,USD,M)&lt;/Q&gt;&lt;R&gt;10&lt;/R&gt;&lt;C&gt;1&lt;/C&gt;&lt;D xsi:type="xsd:double"&gt;142621&lt;/D&gt;&lt;D xsi:type="xsd:double"&gt;144904&lt;/D&gt;&lt;D xsi:type="xsd:double"&gt;142707&lt;/D&gt;&lt;D xsi:type="xsd:double"&gt;117013&lt;/D&gt;&lt;D xsi:type="xsd:double"&gt;115916&lt;/D&gt;&lt;D xsi:type="xsd:double"&gt;119869&lt;/D&gt;&lt;D xsi:type="xsd:double"&gt;118243&lt;/D&gt;&lt;D xsi:type="xsd:double"&gt;98440&lt;/D&gt;&lt;D xsi:type="xsd:double"&gt;95055&lt;/D&gt;&lt;D xsi:type="xsd:double"&gt;79893&lt;/D&gt;&lt;/FQL&gt;&lt;FQL&gt;&lt;Q&gt;GE-US^FE_ESTIMATE(SALES,MED,ANNUAL_ROLL,+1,NOW,,,'')&lt;/Q&gt;&lt;R&gt;1&lt;/R&gt;&lt;C&gt;1&lt;/C&gt;&lt;D xsi:type="xsd:double"&gt;76852.53&lt;/D&gt;&lt;/FQL&gt;&lt;FQL&gt;&lt;Q&gt;GE-US^FE_ESTIMATE(SALES,MED,ANNUAL_ROLL,+2,NOW,,,'')&lt;/Q&gt;&lt;R&gt;1&lt;/R&gt;&lt;C&gt;1&lt;/C&gt;&lt;D xsi:type="xsd:double"&gt;82193&lt;/D&gt;&lt;/FQL&gt;&lt;FQL&gt;&lt;Q&gt;GE-US^FF_COGS(ANN_R,-9,0,Y,RP,USD,M)&lt;/Q&gt;&lt;R&gt;10&lt;/R&gt;&lt;C&gt;1&lt;/C&gt;&lt;D xsi:type="xsd:double"&gt;63677&lt;/D&gt;&lt;D xsi:type="xsd:double"&gt;69790&lt;/D&gt;&lt;D xsi:type="xsd:double"&gt;72391&lt;/D&gt;&lt;D xsi:type="xsd:double"&gt;79026&lt;/D&gt;&lt;D xsi:type="xsd:double"&gt;77542&lt;/D&gt;&lt;D xsi:type="xsd:double"&gt;80224&lt;/D&gt;&lt;D xsi:type="xsd:double"&gt;83745&lt;/D&gt;&lt;D xsi:type="xsd:double"&gt;68834&lt;/D&gt;&lt;D xsi:type="xsd:double"&gt;66584&lt;/D&gt;&lt;D xsi:type="xsd:double"&gt;59891&lt;/D&gt;&lt;/FQL&gt;&lt;FQL&gt;&lt;Q&gt;GE-US^FF_COGS_XDEP(ANN_R,-9,0,Y,RP,USD,M)&lt;/Q&gt;&lt;R&gt;10&lt;/R&gt;&lt;C&gt;1&lt;/C&gt;&lt;D xsi:type="xsd:double"&gt;52760&lt;/D&gt;&lt;D xsi:type="xsd:double"&gt;58829&lt;/D&gt;&lt;D xsi:type="xsd:double"&gt;60918&lt;/D&gt;&lt;D xsi:type="xsd:double"&gt;72605&lt;/D&gt;&lt;D xsi:type="xsd:double"&gt;71042&lt;/D&gt;&lt;D xsi:type="xsd:double"&gt;73392&lt;/D&gt;&lt;D xsi:type="xsd:double"&gt;76316&lt;/D&gt;&lt;D xsi:type="xsd:double"&gt;62252&lt;/D&gt;&lt;D xsi:type="xsd:double"&gt;60989&lt;/D&gt;&lt;D xsi:type="xsd:double"&gt;53873&lt;/D&gt;&lt;/FQL&gt;&lt;FQL&gt;&lt;Q&gt;GE-US^FF_DEP_AMORT_EXP(ANN_R,-9,0,Y,RP,USD,M)&lt;/Q&gt;&lt;R&gt;10&lt;/R&gt;&lt;C&gt;1&lt;/C&gt;&lt;D xsi:type="xsd:double"&gt;10917&lt;/D&gt;&lt;D xsi:type="xsd:double"&gt;10961&lt;/D&gt;&lt;D xsi:type="xsd:double"&gt;11473&lt;/D&gt;&lt;D xsi:type="xsd:double"&gt;6421&lt;/D&gt;&lt;D xsi:type="xsd:double"&gt;6500&lt;/D&gt;&lt;D xsi:type="xsd:double"&gt;6832&lt;/D&gt;&lt;D xsi:type="xsd:double"&gt;7429&lt;/D&gt;&lt;D xsi:type="xsd:double"&gt;6582&lt;/D&gt;&lt;D xsi:type="xsd:double"&gt;5595&lt;/D&gt;&lt;D xsi:type="xsd:double"&gt;6018&lt;/D&gt;&lt;/FQL&gt;&lt;FQL&gt;&lt;Q&gt;GE-US^FF_DEP_EXP(ANN_R,-9,0,Y,RP,USD,M)&lt;/Q&gt;&lt;R&gt;10&lt;/R&gt;&lt;C&gt;1&lt;/C&gt;&lt;D xsi:type="xsd:double"&gt;9185&lt;/D&gt;&lt;D xsi:type="xsd:double"&gt;9346&lt;/D&gt;&lt;D xsi:type="xsd:double"&gt;9762&lt;/D&gt;&lt;D xsi:type="xsd:double"&gt;4953&lt;/D&gt;&lt;D xsi:type="xsd:double"&gt;4847&lt;/D&gt;&lt;D xsi:type="xsd:double"&gt;4997&lt;/D&gt;&lt;D xsi:type="xsd:double"&gt;5139&lt;/D&gt;&lt;D xsi:type="xsd:double"&gt;4419&lt;/D&gt;&lt;D xsi:type="xsd:double"&gt;4026&lt;/D&gt;&lt;D xsi:type="xsd:double"&gt;4636&lt;/D&gt;&lt;/FQL&gt;&lt;FQL&gt;&lt;Q&gt;GE-US^FF_AMORT_INTANG(ANN_R,-9,0,Y,RP,USD,M)&lt;/Q&gt;&lt;R&gt;10&lt;/R&gt;&lt;C&gt;1&lt;/C&gt;&lt;D xsi:type="xsd:double"&gt;1732&lt;/D&gt;&lt;D xsi:type="xsd:double"&gt;1615&lt;/D&gt;&lt;D xsi:type="xsd:double"&gt;1711&lt;/D&gt;&lt;D xsi:type="xsd:double"&gt;1468&lt;/D&gt;&lt;D xsi:type="xsd:double"&gt;1653&lt;/D&gt;&lt;D xsi:type="xsd:double"&gt;1835&lt;/D&gt;&lt;D xsi:type="xsd:double"&gt;2290&lt;/D&gt;&lt;D xsi:type="xsd:double"&gt;2163&lt;/D&gt;&lt;D xsi:type="xsd:double"&gt;1569&lt;/D&gt;&lt;D xsi:type="xsd:double"&gt;1382&lt;/D&gt;&lt;/FQL&gt;&lt;FQL&gt;&lt;Q&gt;GE-US^FF_AMORT_DFD_CHRG(ANN_R,-9,0,Y,RP,USD,M)&lt;/Q&gt;&lt;R&gt;10&lt;/R&gt;&lt;C&gt;1&lt;/C&gt;&lt;D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xsi:type="xsd:double"&gt;0&lt;/D&gt;&lt;/FQL&gt;&lt;FQL&gt;&lt;Q&gt;GE-US^FF_GROSS_INC(ANN_R,-9,0,Y,RP,USD,M)&lt;/Q&gt;&lt;R&gt;10&lt;/R&gt;&lt;C&gt;1&lt;/C&gt;&lt;D xsi:type="xsd:double"&gt;78944&lt;/D&gt;&lt;D xsi:type="xsd:double"&gt;75114&lt;/D&gt;&lt;D xsi:type="xsd:double"&gt;70316&lt;/D&gt;&lt;D xsi:type="xsd:double"&gt;37987&lt;/D&gt;&lt;D xsi:type="xsd:double"&gt;38374&lt;/D&gt;&lt;D xsi:type="xsd:double"&gt;39645&lt;/D&gt;&lt;D xsi:type="xsd:double"&gt;34498&lt;/D&gt;&lt;D xsi:type="xsd:double"&gt;29606&lt;/D&gt;&lt;D xsi:type="xsd:double"&gt;28471&lt;/D&gt;&lt;D xsi:type="xsd:double"&gt;20002&lt;/D&gt;&lt;/FQL&gt;&lt;FQL&gt;&lt;Q&gt;GE-US^FF_GROSS_MGN(ANN_R,-9,0,Y,RP,LOCAL,M)&lt;/Q&gt;&lt;R&gt;10&lt;/R&gt;&lt;C&gt;1&lt;/C&gt;&lt;D xsi:type="xsd:double"&gt;55.3522973475154&lt;/D&gt;&lt;D xsi:type="xsd:double"&gt;51.8370783415227&lt;/D&gt;&lt;D xsi:type="xsd:double"&gt;49.2729859081895&lt;/D&gt;&lt;D xsi:type="xsd:double"&gt;32.4639142659363&lt;/D&gt;&lt;D xsi:type="xsd:double"&gt;33.1050070740881&lt;/D&gt;&lt;D xsi:type="xsd:double"&gt;33.0736053525098&lt;/D&gt;&lt;D xsi:type="xsd:double"&gt;29.1755114467664&lt;/D&gt;&lt;D xsi:type="xsd:double"&gt;30.0751726940268&lt;/D&gt;&lt;D xsi:type="xsd:double"&gt;29.9521329756457&lt;/D&gt;&lt;D xsi:type="xsd:double"&gt;25.0359856307812&lt;/D&gt;&lt;/FQL&gt;&lt;FQL&gt;&lt;Q&gt;GE-US^FF_SGA(ANN_R,-9,0,Y,RP,USD,M)&lt;/Q&gt;&lt;R&gt;10&lt;/R&gt;&lt;C&gt;1&lt;/C&gt;&lt;D xsi:type="xsd:double"&gt;44791&lt;/D&gt;&lt;D xsi:type="xsd:double"&gt;44338&lt;/D&gt;&lt;D xsi:type="xsd:double"&gt;43871&lt;/D&gt;&lt;D xsi:type="xsd:double"&gt;21081&lt;/D&gt;&lt;D xsi:type="xsd:double"&gt;21080&lt;/D&gt;&lt;D xsi:type="xsd:double"&gt;21959&lt;/D&gt;&lt;D xsi:type="xsd:double"&gt;20707&lt;/D&gt;&lt;D xsi:type="xsd:double"&gt;15929&lt;/D&gt;&lt;D xsi:type="xsd:double"&gt;15980&lt;/D&gt;&lt;D xsi:type="xsd:double"&gt;14160&lt;/D&gt;&lt;/FQL&gt;&lt;FQL&gt;&lt;Q&gt;GE-US^IF(ISAV(FF_SGA(ANN_R,-9,0,Y,RP,USD,M)),FF_RD_EXP(ANN_R,-9,0,Y,RP,USD,M),FLOAT_NA)&lt;/Q&gt;&lt;R&gt;10&lt;/R&gt;&lt;C&gt;1&lt;/C&gt;&lt;D xsi:type="xsd:double"&gt;4601&lt;/D&gt;&lt;D xsi:type="xsd:double"&gt;4520&lt;/D&gt;&lt;D xsi:type="xsd:double"&gt;4750&lt;/D&gt;&lt;D xsi:type="xsd:double"&gt;4233&lt;/D&gt;&lt;D xsi:type="xsd:double"&gt;4249&lt;/D&gt;&lt;D xsi:type="xsd:double"&gt;4782&lt;/D&gt;&lt;D xsi:type="xsd:double"&gt;4738&lt;/D&gt;&lt;D xsi:type="xsd:double"&gt;3414&lt;/D&gt;&lt;D xsi:type="xsd:double"&gt;3118&lt;/D&gt;&lt;D xsi:type="xsd:double"&gt;2565&lt;/D&gt;&lt;/FQL&gt;&lt;FQL&gt;&lt;Q&gt;GE-US^FF_SGA_OTH(ANN_R,-9,0,Y,RP,USD,M)&lt;/Q&gt;&lt;R&gt;10&lt;/R&gt;&lt;C&gt;1&lt;/C&gt;&lt;D xsi:type="xsd:double"&gt;40190&lt;/D&gt;&lt;D xsi:type="xsd:double"&gt;39818&lt;/D&gt;&lt;D xsi:type="xsd:double"&gt;39121&lt;/D&gt;&lt;D xsi:type="xsd:double"&gt;16848&lt;/D&gt;&lt;D xsi:type="xsd:double"&gt;16831&lt;/D&gt;&lt;D xsi:type="xsd:double"&gt;17177&lt;/D&gt;&lt;D xsi:type="xsd:double"&gt;15969&lt;/D&gt;&lt;D xsi:type="xsd:double"&gt;12515&lt;/D&gt;&lt;D xsi:type="xsd:double"&gt;12862&lt;/D&gt;&lt;D xsi:type="xsd:double"&gt;11595&lt;/D&gt;&lt;/FQL&gt;&lt;FQL&gt;&lt;Q&gt;GE-US^FF_OPER_EXP_OTH(ANN_R,-9,0,Y,RP,USD,M)&lt;/Q&gt;&lt;R&gt;10&lt;/R&gt;&lt;C&gt;1&lt;/C&gt;&lt;D xsi:type="xsd:double"&gt;2912&lt;/D&gt;&lt;D xsi:type="xsd:double"&gt;2857&lt;/D&gt;&lt;D xsi:type="xsd:double"&gt;2676&lt;/D&gt;&lt;D xsi:type="xsd:double"&gt;3646&lt;/D&gt;&lt;D xsi:type="xsd:double"&gt;5149&lt;/D&gt;&lt;D xsi:type="xsd:double"&gt;3747&lt;/D&gt;&lt;D xsi:type="xsd:double"&gt;13250&lt;/D&gt;&lt;D xsi:type="xsd:double"&gt;3204&lt;/D&gt;&lt;D xsi:type="xsd:double"&gt;3752&lt;/D&gt;&lt;D xsi:type="xsd:double"&gt;2781&lt;/D&gt;&lt;/FQL&gt;&lt;FQL&gt;&lt;Q&gt;GE-US^FF_EBIT_OPER(ANN_R,-9,0,Y,RP,USD,M)&lt;/Q&gt;&lt;R&gt;10&lt;/R&gt;&lt;C&gt;1&lt;/C&gt;&lt;D xsi:type="xsd:double"&gt;31241&lt;/D&gt;&lt;D xsi:type="xsd:double"&gt;27919&lt;/D&gt;&lt;D xsi:type="xsd:double"&gt;23769&lt;/D&gt;&lt;D xsi:type="xsd:double"&gt;13260&lt;/D&gt;&lt;D xsi:type="xsd:double"&gt;12145&lt;/D&gt;&lt;D xsi:type="xsd:double"&gt;13939&lt;/D&gt;&lt;D xsi:type="xsd:double"&gt;541&lt;/D&gt;&lt;D xsi:type="xsd:double"&gt;10473&lt;/D&gt;&lt;D xsi:type="xsd:double"&gt;8739&lt;/D&gt;&lt;D xsi:type="xsd:double"&gt;3061&lt;/D&gt;&lt;/FQL&gt;&lt;FQL&gt;&lt;Q&gt;GE-US^FF_EBIT_OPER_MGN(ANN_R,-9,0,Y,RP,LOCAL,M)&lt;/Q&gt;&lt;R&gt;10&lt;/R&gt;&lt;C&gt;1&lt;/C&gt;&lt;D xsi:type="xsd:double"&gt;21.90490881427&lt;/D&gt;&lt;D xsi:type="xsd:double"&gt;19.2672389996135&lt;/D&gt;&lt;D xsi:type="xsd:double"&gt;16.6558052513191&lt;/D&gt;&lt;D xsi:type="xsd:double"&gt;11.3320742139762&lt;/D&gt;&lt;D xsi:type="xsd:double"&gt;10.4774146795956&lt;/D&gt;&lt;D xsi:type="xsd:double"&gt;11.6285278095254&lt;/D&gt;&lt;D xsi:type="xsd:double"&gt;0.457532369780875&lt;/D&gt;&lt;D xsi:type="xsd:double"&gt;10.638967899228&lt;/D&gt;&lt;D xsi:type="xsd:double"&gt;9.19362474356951&lt;/D&gt;&lt;D xsi:type="xsd:double"&gt;3.83137446334472&lt;/D&gt;&lt;/FQL&gt;&lt;FQL&gt;&lt;Q&gt;GE-US^FF_NON_OPER_INC(ANN_R,-9,0,Y,RP,USD,M)&lt;/Q&gt;&lt;R&gt;10&lt;/R&gt;&lt;C&gt;1&lt;/C&gt;&lt;D xsi:type="xsd:double"&gt;5037&lt;/D&gt;&lt;D xsi:type="xsd:double"&gt;2590&lt;/D&gt;&lt;D xsi:type="xsd:double"&gt;3677&lt;/D&gt;&lt;D xsi:type="xsd:double"&gt;-122&lt;/D&gt;&lt;D xsi:type="xsd:double"&gt;1297&lt;/D&gt;&lt;D xsi:type="xsd:double"&gt;3680&lt;/D&gt;&lt;D xsi:type="xsd:double"&gt;-273&lt;/D&gt;&lt;D xsi:type="xsd:double"&gt;-376&lt;/D&gt;&lt;D xsi:type="xsd:double"&gt;-600&lt;/D&gt;&lt;D xsi:type="xsd:double"&gt;8962&lt;/D&gt;&lt;/FQL&gt;&lt;FQL&gt;&lt;Q&gt;GE-US^FF_INT_INC_NON_OPER(ANN_R,-9,0,Y,RP,USD,M)&lt;/Q&gt;&lt;R&gt;10&lt;/R&gt;&lt;C&gt;1&lt;/C&gt;&lt;D xsi:type="xsd:double"&gt;258&lt;/D&gt;&lt;D xsi:type="xsd:double"&gt;152&lt;/D&gt;&lt;D xsi:type="xsd:double"&gt;75&lt;/D&gt;&lt;D xsi:type="xsd:double"&gt;0&lt;/D&gt;&lt;D xsi:type="xsd:double"&gt;65&lt;/D&gt;&lt;D xsi:type="xsd:double"&gt;167&lt;/D&gt;&lt;D xsi:type="xsd:double"&gt;425&lt;/D&gt;&lt;D xsi:type="xsd:double"&gt;562&lt;/D&gt;&lt;D xsi:type="xsd:double"&gt;1220&lt;/D&gt;&lt;D xsi:type="xsd:double"&gt;0&lt;/D&gt;&lt;/FQL&gt;&lt;FQL&gt;&lt;Q&gt;GE-US^FF_EQ_AFF_INC_PTX(ANN_R,-9,0,Y,RP,USD,M)&lt;/Q&gt;&lt;R&gt;10&lt;/R&gt;&lt;C&gt;1&lt;/C&gt;&lt;D xsi:type="xsd:double"&gt;894&lt;/D&gt;&lt;D xsi:type="xsd:double"&gt;1545&lt;/D&gt;&lt;D xsi:type="xsd:double"&gt;40&lt;/D&gt;&lt;D xsi:type="xsd:double"&gt;176&lt;/D&gt;&lt;D xsi:type="xsd:double"&gt;45&lt;/D&gt;&lt;D xsi:type="xsd:double"&gt;76&lt;/D&gt;&lt;D xsi:type="xsd:double"&gt;202&lt;/D&gt;&lt;D xsi:type="xsd:double"&gt;21&lt;/D&gt;&lt;D xsi:type="xsd:double"&gt;206&lt;/D&gt;&lt;D xsi:type="xsd:double"&gt;27&lt;/D&gt;&lt;/FQL&gt;&lt;FQL&gt;&lt;Q&gt;GE-US^FF_MISC_EXP_NON_OPER(ANN_R,-9,0,Y,RP,USD,M)&lt;/Q&gt;&lt;R&gt;10&lt;/R&gt;&lt;C&gt;1&lt;/C&gt;&lt;D xsi:type="xsd:double"&gt;3885&lt;/D&gt;&lt;D xsi:type="xsd:double"&gt;893&lt;/D&gt;&lt;D xsi:type="xsd:double"&gt;3562&lt;/D&gt;&lt;D xsi:type="xsd:double"&gt;-298&lt;/D&gt;&lt;D xsi:type="xsd:double"&gt;1187&lt;/D&gt;&lt;D xsi:type="xsd:double"&gt;3437&lt;/D&gt;&lt;D xsi:type="xsd:double"&gt;-900&lt;/D&gt;&lt;D xsi:type="xsd:double"&gt;-959&lt;/D&gt;&lt;D xsi:type="xsd:double"&gt;-2026&lt;/D&gt;&lt;D xsi:type="xsd:double"&gt;8935&lt;/D&gt;&lt;/FQL&gt;&lt;FQL&gt;&lt;Q&gt;GE-US^FF_INT_EXP_NET(ANN_R,-9,0,Y,RP,USD,M)&lt;/Q&gt;&lt;R&gt;10&lt;/R&gt;&lt;C&gt;1&lt;/C&gt;&lt;D xsi:type="xsd:double"&gt;12741&lt;/D&gt;&lt;D xsi:type="xsd:double"&gt;11331&lt;/D&gt;&lt;D xsi:type="xsd:double"&gt;8104&lt;/D&gt;&lt;D xsi:type="xsd:double"&gt;2430&lt;/D&gt;&lt;D xsi:type="xsd:double"&gt;3090&lt;/D&gt;&lt;D xsi:type="xsd:double"&gt;4281&lt;/D&gt;&lt;D xsi:type="xsd:double"&gt;4869&lt;/D&gt;&lt;D xsi:type="xsd:double"&gt;4560&lt;/D&gt;&lt;D xsi:type="xsd:double"&gt;4324&lt;/D&gt;&lt;D xsi:type="xsd:double"&gt;3231&lt;/D&gt;&lt;/FQL&gt;&lt;FQL&gt;&lt;Q&gt;GE-US^FF_INT_EXP_DEBT(ANN_R,-9,0,Y,RP,USD,M)&lt;/Q&gt;&lt;R&gt;10&lt;/R&gt;&lt;C&gt;1&lt;/C&gt;&lt;D xsi:type="xsd:double"&gt;12766&lt;/D&gt;&lt;D xsi:type="xsd:double"&gt;11359&lt;/D&gt;&lt;D xsi:type="xsd:double"&gt;8133&lt;/D&gt;&lt;D xsi:type="xsd:double"&gt;2455&lt;/D&gt;&lt;D xsi:type="xsd:double"&gt;3116&lt;/D&gt;&lt;D xsi:type="xsd:double"&gt;4316&lt;/D&gt;&lt;D xsi:type="xsd:double"&gt;4869&lt;/D&gt;&lt;D xsi:type="xsd:double"&gt;4560&lt;/D&gt;&lt;D xsi:type="xsd:double"&gt;4324&lt;/D&gt;&lt;D xsi:type="xsd:double"&gt;3231&lt;/D&gt;&lt;/FQL&gt;&lt;FQL&gt;&lt;Q&gt;GE-US^FF_INT_CAP(ANN_R,-9,0,Y,RP,USD,M)&lt;/Q&gt;&lt;R&gt;10&lt;/R&gt;&lt;C&gt;1&lt;/C&gt;&lt;D xsi:type="xsd:double"&gt;25&lt;/D&gt;&lt;D xsi:type="xsd:double"&gt;28&lt;/D&gt;&lt;D xsi:type="xsd:double"&gt;29&lt;/D&gt;&lt;D xsi:type="xsd:double"&gt;25&lt;/D&gt;&lt;D xsi:type="xsd:double"&gt;26&lt;/D&gt;&lt;D xsi:type="xsd:double"&gt;35&lt;/D&gt;&lt;D xsi:type="xsd:string"&gt;@NA&lt;/D&gt;&lt;D xsi:type="xsd:double"&gt;0&lt;/D&gt;&lt;D xsi:type="xsd:double"&gt;0&lt;/D&gt;&lt;D xsi:type="xsd:double"&gt;0&lt;/D&gt;&lt;/FQL&gt;&lt;FQL&gt;&lt;Q&gt;GE-US^PCTCHG(FF_INT_EXP_NET(ANN_R,-9,0,Y,RP,LOCAL,M),FF_INT_EXP_NET(ANN_R,-1,0-1,Y,RP,LOCAL,M))&lt;/Q&gt;&lt;R&gt;10&lt;/R&gt;&lt;C&gt;1&lt;/C&gt;&lt;D xsi:type="xsd:double"&gt;194.65773&lt;/D&gt;&lt;D xsi:type="xsd:double"&gt;162.04903&lt;/D&gt;&lt;D xsi:type="xsd:double"&gt;87.41906&lt;/D&gt;&lt;D xsi:type="xsd:double"&gt;-43.802036&lt;/D&gt;&lt;D xsi:type="xsd:double"&gt;-28.538391&lt;/D&gt;&lt;D xsi:type="xsd:double"&gt;-0.99444956&lt;/D&gt;&lt;D xsi:type="xsd:double"&gt;12.604071&lt;/D&gt;&lt;D xsi:type="xsd:double"&gt;5.457909&lt;/D&gt;&lt;D xsi:type="xsd:double"&gt;0&lt;/D&gt;&lt;D xsi:type="xsd:double"&gt;-25.277521&lt;/D&gt;&lt;/FQL&gt;&lt;FQL&gt;&lt;Q&gt;GE-US^FF_UNUSUAL_EXP(ANN_R,-9,0,Y,RP,USD,M)&lt;/Q&gt;&lt;R&gt;10&lt;/R&gt;&lt;C&gt;1&lt;/C&gt;&lt;D xsi:type="xsd:double"&gt;3439&lt;/D&gt;&lt;D xsi:type="xsd:double"&gt;1772&lt;/D&gt;&lt;D xsi:type="xsd:double"&gt;3191&lt;/D&gt;&lt;D xsi:type="xsd:double"&gt;445&lt;/D&gt;&lt;D xsi:type="xsd:double"&gt;2166&lt;/D&gt;&lt;D xsi:type="xsd:double"&gt;4308&lt;/D&gt;&lt;D xsi:type="xsd:double"&gt;6550&lt;/D&gt;&lt;D xsi:type="xsd:double"&gt;26524&lt;/D&gt;&lt;D xsi:type="xsd:double"&gt;2666&lt;/D&gt;&lt;D xsi:type="xsd:double"&gt;3595&lt;/D&gt;&lt;/FQL&gt;&lt;FQL&gt;&lt;Q&gt;GE-US^FF_IMPAIR_PPE(ANN_R,-9,0,Y,RP,USD,M)&lt;/Q&gt;&lt;R&gt;0&lt;/R&gt;&lt;C&gt;0&lt;/C&gt;&lt;/FQL&gt;&lt;FQL&gt;&lt;Q&gt;GE-US^FF_FIN_ASSETS_IMPAIR(ANN_R,-9,0,Y,RP,USD,M)&lt;/Q&gt;&lt;R&gt;0&lt;/R&gt;&lt;C&gt;0&lt;/C&gt;&lt;/FQL&gt;&lt;FQL&gt;&lt;Q&gt;GE-US^FF_XCEPT_PROV(ANN_R,-9,0,Y,RP,USD,M)&lt;/Q&gt;&lt;R&gt;10&lt;/R&gt;&lt;C&gt;1&lt;/C&gt;&lt;D xsi:type="xsd:string"&gt;@NA&lt;/D&gt;&lt;D xsi:type="xsd:string"&gt;@NA&lt;/D&gt;&lt;D xsi:type="xsd:string"&gt;@NA&lt;/D&gt;&lt;D xsi:type="xsd:string"&gt;@NA&lt;/D&gt;&lt;D xsi:type="xsd:double"&gt;0&lt;/D&gt;&lt;D xsi:type="xsd:double"&gt;0&lt;/D&gt;&lt;D xsi:type="xsd:double"&gt;0&lt;/D&gt;&lt;D xsi:type="xsd:string"&gt;@NA&lt;/D&gt;&lt;D xsi:type="xsd:string"&gt;@NA&lt;/D&gt;&lt;D xsi:type="xsd:string"&gt;@NA&lt;/D&gt;&lt;/FQL&gt;&lt;FQL&gt;&lt;Q&gt;GE-US^FF_REORG_RESTRUCT_EXP(ANN_R,-9,0,Y,RP,USD,M)&lt;/Q&gt;&lt;R&gt;0&lt;/R&gt;&lt;C&gt;0&lt;/C&gt;&lt;/FQL&gt;&lt;FQL&gt;&lt;Q&gt;GE-US^FF_GW_WDOWN(ANN_R,-9,0,Y,RP,USD,M)&lt;/Q&gt;&lt;R&gt;0&lt;/R&gt;&lt;C&gt;0&lt;/C&gt;&lt;/FQL&gt;&lt;FQL&gt;&lt;Q&gt;GE-US^FF_LEGAL_CLAIM_EXP(ANN_R,-9,0,Y,RP,USD,M)&lt;/Q&gt;&lt;R&gt;10&lt;/R&gt;&lt;C&gt;1&lt;/C&gt;&lt;D xsi:type="xsd:string"&gt;@NA&lt;/D&gt;&lt;D xsi:type="xsd:string"&gt;@NA&lt;/D&gt;&lt;D xsi:type="xsd:string"&gt;@NA&lt;/D&gt;&lt;D xsi:type="xsd:double"&gt;0&lt;/D&gt;&lt;D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GE-US^FF_IMPAIR_INTANG_OTH(ANN_R,-9,0,Y,RP,USD,M)&lt;/Q&gt;&lt;R&gt;0&lt;/R&gt;&lt;C&gt;0&lt;/C&gt;&lt;/FQL&gt;&lt;FQL&gt;&lt;Q&gt;GE-US^FF_UNREAL_INVEST_GL(ANN_R,-9,0,Y,RP,USD,M)&lt;/Q&gt;&lt;R&gt;0&lt;/R&gt;&lt;C&gt;0&lt;/C&gt;&lt;/FQL&gt;&lt;FQL&gt;&lt;Q&gt;GE-US^FF_OTH_UNUSUAL_EXP(ANN_R,-9,0,Y,RP,USD,M)&lt;/Q&gt;&lt;R&gt;10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xsi:type="xsd:string"&gt;@NA&lt;/D&gt;&lt;/FQL&gt;&lt;FQL&gt;&lt;Q&gt;GE-US^FF_PTX_INC(ANN_R,-9,0,Y,RP,USD,M)&lt;/Q&gt;&lt;R&gt;10&lt;/R&gt;&lt;C&gt;1&lt;/C&gt;&lt;D xsi:type="xsd:double"&gt;20098&lt;/D&gt;&lt;D xsi:type="xsd:double"&gt;17406&lt;/D&gt;&lt;D xsi:type="xsd:double"&gt;16151&lt;/D&gt;&lt;D xsi:type="xsd:double"&gt;10263&lt;/D&gt;&lt;D xsi:type="xsd:double"&gt;8186&lt;/D&gt;&lt;D xsi:type="xsd:double"&gt;9030&lt;/D&gt;&lt;D xsi:type="xsd:double"&gt;-11151&lt;/D&gt;&lt;D xsi:type="xsd:double"&gt;-20987&lt;/D&gt;&lt;D xsi:type="xsd:double"&gt;1149&lt;/D&gt;&lt;D xsi:type="xsd:double"&gt;5197&lt;/D&gt;&lt;/FQL&gt;&lt;FQL&gt;&lt;Q&gt;GE-US^FF_PTX_MGN(ANN_R,-9,0,Y,RP,LOCAL,M)&lt;/Q&gt;&lt;R&gt;10&lt;/R&gt;&lt;C&gt;1&lt;/C&gt;&lt;D xsi:type="xsd:double"&gt;14.0918939006177&lt;/D&gt;&lt;D xsi:type="xsd:double"&gt;12.01209076354&lt;/D&gt;&lt;D xsi:type="xsd:double"&gt;11.3175947921265&lt;/D&gt;&lt;D xsi:type="xsd:double"&gt;8.77082033620196&lt;/D&gt;&lt;D xsi:type="xsd:double"&gt;7.06201042133959&lt;/D&gt;&lt;D xsi:type="xsd:double"&gt;7.53322376928146&lt;/D&gt;&lt;D xsi:type="xsd:double"&gt;-9.43057940004905&lt;/D&gt;&lt;D xsi:type="xsd:double"&gt;-21.3195855343356&lt;/D&gt;&lt;D xsi:type="xsd:double"&gt;1.20877386776077&lt;/D&gt;&lt;D xsi:type="xsd:double"&gt;6.50495037112137&lt;/D&gt;&lt;/FQL&gt;&lt;FQL&gt;&lt;Q&gt;GE-US^FF_INC_TAX(ANN_R,-9,0,Y,RP,USD,M)&lt;/Q&gt;&lt;R&gt;10&lt;/R&gt;&lt;C&gt;1&lt;/C&gt;&lt;D xsi:type="xsd:double"&gt;5732&lt;/D&gt;&lt;D xsi:type="xsd:double"&gt;2504&lt;/D&gt;&lt;D xsi:type="xsd:double"&gt;676&lt;/D&gt;&lt;D xsi:type="xsd:double"&gt;773&lt;/D&gt;&lt;D xsi:type="xsd:double"&gt;6485&lt;/D&gt;&lt;D xsi:type="xsd:double"&gt;-464&lt;/D&gt;&lt;D xsi:type="xsd:double"&gt;-2611&lt;/D&gt;&lt;D xsi:type="xsd:double"&gt;93&lt;/D&gt;&lt;D xsi:type="xsd:double"&gt;726&lt;/D&gt;&lt;D xsi:type="xsd:double"&gt;-475&lt;/D&gt;&lt;/FQL&gt;&lt;FQL&gt;&lt;Q&gt;GE-US^FF_INC_TAX_CURR_DOM(ANN_R,-9,0,Y,RP,USD,M)&lt;/Q&gt;&lt;R&gt;10&lt;/R&gt;&lt;C&gt;1&lt;/C&gt;&lt;D xsi:type="xsd:double"&gt;5935&lt;/D&gt;&lt;D xsi:type="xsd:double"&gt;3675&lt;/D&gt;&lt;D xsi:type="xsd:double"&gt;3971&lt;/D&gt;&lt;D xsi:type="xsd:double"&gt;-541&lt;/D&gt;&lt;D xsi:type="xsd:double"&gt;1247&lt;/D&gt;&lt;D xsi:type="xsd:double"&gt;-2679&lt;/D&gt;&lt;D xsi:type="xsd:double"&gt;-635&lt;/D&gt;&lt;D xsi:type="xsd:double"&gt;908&lt;/D&gt;&lt;D xsi:type="xsd:double"&gt;-122&lt;/D&gt;&lt;D xsi:type="xsd:double"&gt;1019&lt;/D&gt;&lt;/FQL&gt;&lt;FQL&gt;&lt;Q&gt;GE-US^FF_INC_TAX_CURR_FOR(ANN_R,-9,0,Y,RP,USD,M)&lt;/Q&gt;&lt;R&gt;10&lt;/R&gt;&lt;C&gt;1&lt;/C&gt;&lt;D xsi:type="xsd:double"&gt;0&lt;/D&gt;&lt;D xsi:type="xsd:double"&gt;0&lt;/D&gt;&lt;D xsi:type="xsd:double"&gt;0&lt;/D&gt;&lt;D xsi:type="xsd:double"&gt;2035&lt;/D&gt;&lt;D xsi:type="xsd:double"&gt;4867&lt;/D&gt;&lt;D xsi:type="xsd:double"&gt;1730&lt;/D&gt;&lt;D xsi:type="xsd:double"&gt;2286&lt;/D&gt;&lt;D xsi:type="xsd:double"&gt;1132&lt;/D&gt;&lt;D xsi:type="xsd:double"&gt;2008&lt;/D&gt;&lt;D xsi:type="xsd:double"&gt;1331&lt;/D&gt;&lt;/FQL&gt;&lt;FQL&gt;&lt;Q&gt;GE-US^FF_INC_TAX_DFD_DOM(ANN_R,-9,0,Y,RP,USD,M)&lt;/Q&gt;&lt;R&gt;10&lt;/R&gt;&lt;C&gt;1&lt;/C&gt;&lt;D xsi:type="xsd:double"&gt;-203&lt;/D&gt;&lt;D xsi:type="xsd:double"&gt;-1171&lt;/D&gt;&lt;D xsi:type="xsd:double"&gt;-3295&lt;/D&gt;&lt;D xsi:type="xsd:double"&gt;261&lt;/D&gt;&lt;D xsi:type="xsd:double"&gt;492&lt;/D&gt;&lt;D xsi:type="xsd:double"&gt;-754&lt;/D&gt;&lt;D xsi:type="xsd:double"&gt;-3740&lt;/D&gt;&lt;D xsi:type="xsd:double"&gt;-3144&lt;/D&gt;&lt;D xsi:type="xsd:double"&gt;-1266&lt;/D&gt;&lt;D xsi:type="xsd:double"&gt;-2032&lt;/D&gt;&lt;/FQL&gt;&lt;FQL&gt;&lt;Q&gt;GE-US^FF_INC_TAX_DFD_FOR(ANN_R,-9,0,Y,RP,USD,M)&lt;/Q&gt;&lt;R&gt;10&lt;/R&gt;&lt;C&gt;1&lt;/C&gt;&lt;D xsi:type="xsd:double"&gt;0&lt;/D&gt;&lt;D xsi:type="xsd:double"&gt;0&lt;/D&gt;&lt;D xsi:type="xsd:double"&gt;0&lt;/D&gt;&lt;D xsi:type="xsd:double"&gt;-982&lt;/D&gt;&lt;D xsi:type="xsd:double"&gt;-121&lt;/D&gt;&lt;D xsi:type="xsd:double"&gt;1239&lt;/D&gt;&lt;D xsi:type="xsd:double"&gt;-522&lt;/D&gt;&lt;D xsi:type="xsd:double"&gt;1197&lt;/D&gt;&lt;D xsi:type="xsd:double"&gt;106&lt;/D&gt;&lt;D xsi:type="xsd:double"&gt;-793&lt;/D&gt;&lt;/FQL&gt;&lt;FQL&gt;&lt;Q&gt;GE-US^FF_ITC(ANN_R,-9,0,Y,RP,USD,M)&lt;/Q&gt;&lt;R&gt;10&lt;/R&gt;&lt;C&gt;1&lt;/C&gt;&lt;D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xsi:type="xsd:double"&gt;0&lt;/D&gt;&lt;/FQL&gt;&lt;FQL&gt;&lt;Q&gt;GE-US^FF_TAX_RATE(ANN_R,-9,0,Y,RP)&lt;/Q&gt;&lt;R&gt;10&lt;/R&gt;&lt;C&gt;1&lt;/C&gt;&lt;D xsi:type="xsd:double"&gt;28.520250771221&lt;/D&gt;&lt;D xsi:type="xsd:double"&gt;14.3858439618522&lt;/D&gt;&lt;D xsi:type="xsd:double"&gt;4.18549934988546&lt;/D&gt;&lt;D xsi:type="xsd:double"&gt;7.53191074734483&lt;/D&gt;&lt;D xsi:type="xsd:double"&gt;79.2206205717078&lt;/D&gt;&lt;D xsi:type="xsd:double"&gt;-5.13842746400886&lt;/D&gt;&lt;D xsi:type="xsd:string"&gt;@NA&lt;/D&gt;&lt;D xsi:type="xsd:string"&gt;@NA&lt;/D&gt;&lt;D xsi:type="xsd:double"&gt;63.1853785900783&lt;/D&gt;&lt;D xsi:type="xsd:double"&gt;-9.1398883971522&lt;/D&gt;&lt;/FQL&gt;&lt;FQL&gt;&lt;Q&gt;GE-US^FF_EQ_AFF_INC(ANN_R,-9,0,Y,RP,USD,M)&lt;/Q&gt;&lt;R&gt;10&lt;/R&gt;&lt;C&gt;1&lt;/C&gt;&lt;D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xsi:type="xsd:double"&gt;0&lt;/D&gt;&lt;D xsi:type="xsd:string"&gt;@NA&lt;/D&gt;&lt;D xsi:type="xsd:string"&gt;@NA&lt;/D&gt;&lt;D xsi:type="xsd:string"&gt;@NA&lt;/D&gt;&lt;/FQL&gt;&lt;FQL&gt;&lt;Q&gt;GE-US^FF_ADJ_NET_OTH(ANN_R,-9,0,Y,RP,USD,M)&lt;/Q&gt;&lt;R&gt;10&lt;/R&gt;&lt;C&gt;1&lt;/C&gt;&lt;D xsi:type="xsd:double"&gt;-23&lt;/D&gt;&lt;D xsi:type="xsd:double"&gt;-21&lt;/D&gt;&lt;D xsi:type="xsd:double"&gt;-21&lt;/D&gt;&lt;D xsi:type="xsd:double"&gt;-14&lt;/D&gt;&lt;D xsi:type="xsd:double"&gt;-4&lt;/D&gt;&lt;D xsi:type="xsd:double"&gt;-15&lt;/D&gt;&lt;D xsi:type="xsd:double"&gt;-11&lt;/D&gt;&lt;D xsi:type="xsd:double"&gt;0&lt;/D&gt;&lt;D xsi:type="xsd:double"&gt;0&lt;/D&gt;&lt;D xsi:type="xsd:double"&gt;-14&lt;/D&gt;&lt;/FQL&gt;&lt;FQL&gt;&lt;Q&gt;GE-US^FF_CONSOL_NET_INC(ANN_R,-9,0,Y,RP,USD,M)&lt;/Q&gt;&lt;R&gt;10&lt;/R&gt;&lt;C&gt;1&lt;/C&gt;&lt;D xsi:type="xsd:double"&gt;14343&lt;/D&gt;&lt;D xsi:type="xsd:double"&gt;14881&lt;/D&gt;&lt;D xsi:type="xsd:double"&gt;15454&lt;/D&gt;&lt;D xsi:type="xsd:double"&gt;9476&lt;/D&gt;&lt;D xsi:type="xsd:double"&gt;1697&lt;/D&gt;&lt;D xsi:type="xsd:double"&gt;9479&lt;/D&gt;&lt;D xsi:type="xsd:double"&gt;-8551&lt;/D&gt;&lt;D xsi:type="xsd:double"&gt;-21080&lt;/D&gt;&lt;D xsi:type="xsd:double"&gt;423&lt;/D&gt;&lt;D xsi:type="xsd:double"&gt;5658&lt;/D&gt;&lt;/FQL&gt;&lt;FQL&gt;&lt;Q&gt;GE-US^FF_MIN_INT_EXP(ANN_R,-9,0,Y,RP,USD,M)&lt;/Q&gt;&lt;R&gt;10&lt;/R&gt;&lt;C&gt;1&lt;/C&gt;&lt;D xsi:type="xsd:double"&gt;292&lt;/D&gt;&lt;D xsi:type="xsd:double"&gt;223&lt;/D&gt;&lt;D xsi:type="xsd:double"&gt;298&lt;/D&gt;&lt;D xsi:type="xsd:double"&gt;-45&lt;/D&gt;&lt;D xsi:type="xsd:double"&gt;19&lt;/D&gt;&lt;D xsi:type="xsd:double"&gt;-290&lt;/D&gt;&lt;D xsi:type="xsd:double"&gt;-371&lt;/D&gt;&lt;D xsi:type="xsd:double"&gt;-90&lt;/D&gt;&lt;D xsi:type="xsd:double"&gt;7&lt;/D&gt;&lt;D xsi:type="xsd:double"&gt;-7&lt;/D&gt;&lt;/FQL&gt;&lt;FQL&gt;&lt;Q&gt;GE-US^FF_NET_INC(ANN_R,-9,0,Y,RP,USD,M)&lt;/Q&gt;&lt;R&gt;10&lt;/R&gt;&lt;C&gt;1&lt;/C&gt;&lt;D xsi:type="xsd:double"&gt;14051&lt;/D&gt;&lt;D xsi:type="xsd:double"&gt;14658&lt;/D&gt;&lt;D xsi:type="xsd:double"&gt;15156&lt;/D&gt;&lt;D xsi:type="xsd:double"&gt;9521&lt;/D&gt;&lt;D xsi:type="xsd:double"&gt;1678&lt;/D&gt;&lt;D xsi:type="xsd:double"&gt;9769&lt;/D&gt;&lt;D xsi:type="xsd:double"&gt;-8180&lt;/D&gt;&lt;D xsi:type="xsd:double"&gt;-20990&lt;/D&gt;&lt;D xsi:type="xsd:double"&gt;416&lt;/D&gt;&lt;D xsi:type="xsd:double"&gt;5665&lt;/D&gt;&lt;/FQL&gt;&lt;FQL&gt;&lt;Q&gt;GE-US^FF_NET_MGN(ANN_R,-9,0,Y,RP,LOCAL,M)&lt;/Q&gt;&lt;R&gt;10&lt;/R&gt;&lt;C&gt;1&lt;/C&gt;&lt;D xsi:type="xsd:double"&gt;9.85198533175339&lt;/D&gt;&lt;D xsi:type="xsd:double"&gt;10.1156627836361&lt;/D&gt;&lt;D xsi:type="xsd:double"&gt;10.6203620004625&lt;/D&gt;&lt;D xsi:type="xsd:double"&gt;8.13670275952245&lt;/D&gt;&lt;D xsi:type="xsd:double"&gt;1.4475999861969&lt;/D&gt;&lt;D xsi:type="xsd:double"&gt;8.1497301220499&lt;/D&gt;&lt;D xsi:type="xsd:double"&gt;-6.91795708836887&lt;/D&gt;&lt;D xsi:type="xsd:double"&gt;-21.3226330759854&lt;/D&gt;&lt;D xsi:type="xsd:double"&gt;0.437641365525222&lt;/D&gt;&lt;D xsi:type="xsd:double"&gt;7.09073385653311&lt;/D&gt;&lt;/FQL&gt;&lt;FQL&gt;&lt;Q&gt;GE-US^ZAV(FF_DIV_PFD(ANN_R,-9,0,Y,RP,USD,M))&lt;/Q&gt;&lt;R&gt;10&lt;/R&gt;&lt;C&gt;1&lt;/C&gt;&lt;D xsi:type="xsd:double"&gt;1031&lt;/D&gt;&lt;D xsi:type="xsd:double"&gt;0&lt;/D&gt;&lt;D xsi:type="xsd:double"&gt;0&lt;/D&gt;&lt;D xsi:type="xsd:double"&gt;0&lt;/D&gt;&lt;D xsi:type="xsd:double"&gt;18&lt;/D&gt;&lt;D xsi:type="xsd:double"&gt;656&lt;/D&gt;&lt;D xsi:type="xsd:double"&gt;436&lt;/D&gt;&lt;D xsi:type="xsd:double"&gt;448&lt;/D&gt;&lt;D xsi:type="xsd:double"&gt;460&lt;/D&gt;&lt;D xsi:type="xsd:double"&gt;474&lt;/D&gt;&lt;/FQL&gt;&lt;FQL&gt;&lt;Q&gt;GE-US^FF_NET_INC_BASIC(ANN_R,-9,0,Y,RP,USD,M)&lt;/Q&gt;&lt;R&gt;10&lt;/R&gt;&lt;C&gt;1&lt;/</t>
        </r>
      </text>
    </comment>
    <comment ref="A5" authorId="0" shapeId="0">
      <text>
        <r>
          <rPr>
            <sz val="10"/>
            <rFont val="Arial"/>
            <family val="2"/>
          </rPr>
          <t>C&gt;&lt;D xsi:type="xsd:double"&gt;13076&lt;/D&gt;&lt;D xsi:type="xsd:double"&gt;14217&lt;/D&gt;&lt;D xsi:type="xsd:double"&gt;14821&lt;/D&gt;&lt;D xsi:type="xsd:double"&gt;15197&lt;/D&gt;&lt;D xsi:type="xsd:double"&gt;1456&lt;/D&gt;&lt;D xsi:type="xsd:double"&gt;9415&lt;/D&gt;&lt;D xsi:type="xsd:double"&gt;-9072&lt;/D&gt;&lt;D xsi:type="xsd:double"&gt;-22806&lt;/D&gt;&lt;D xsi:type="xsd:double"&gt;236&lt;/D&gt;&lt;D xsi:type="xsd:double"&gt;5098&lt;/D&gt;&lt;/FQL&gt;&lt;FQL&gt;&lt;Q&gt;GE-US^FF_EPS_DIL_BEF_UNUSUAL(ANN_R,-9,0,Y,RP,USD,M)&lt;/Q&gt;&lt;R&gt;10&lt;/R&gt;&lt;C&gt;1&lt;/C&gt;&lt;D xsi:type="xsd:double"&gt;1.45793785310734&lt;/D&gt;&lt;D xsi:type="xsd:double"&gt;1.46330935251799&lt;/D&gt;&lt;D xsi:type="xsd:double"&gt;1.65640003887647&lt;/D&gt;&lt;D xsi:type="xsd:double"&gt;1.53210510718167&lt;/D&gt;&lt;D xsi:type="xsd:double"&gt;0.296745207667732&lt;/D&gt;&lt;D xsi:type="xsd:double"&gt;1.3608543263965&lt;/D&gt;&lt;D xsi:type="xsd:double"&gt;-0.51651893634166&lt;/D&gt;&lt;D xsi:type="xsd:double"&gt;-0.48776895639167&lt;/D&gt;&lt;D xsi:type="xsd:double"&gt;0.24096744612563&lt;/D&gt;&lt;D xsi:type="xsd:double"&gt;0.869135943385458&lt;/D&gt;&lt;/FQL&gt;&lt;FQL&gt;&lt;Q&gt;GE-US^FF_EPS_BASIC(ANN_R,-9,0,Y,RP,USD,M)&lt;/Q&gt;&lt;R&gt;10&lt;/R&gt;&lt;C&gt;1&lt;/C&gt;&lt;D xsi:type="xsd:double"&gt;1.2346&lt;/D&gt;&lt;D xsi:type="xsd:double"&gt;1.351&lt;/D&gt;&lt;D xsi:type="xsd:double"&gt;1.4499&lt;/D&gt;&lt;D xsi:type="xsd:double"&gt;1.5129&lt;/D&gt;&lt;D xsi:type="xsd:double"&gt;0.1464&lt;/D&gt;&lt;D xsi:type="xsd:double"&gt;1.0432&lt;/D&gt;&lt;D xsi:type="xsd:double"&gt;-1.0443&lt;/D&gt;&lt;D xsi:type="xsd:double"&gt;-2.6241&lt;/D&gt;&lt;D xsi:type="xsd:double"&gt;0.027&lt;/D&gt;&lt;D xsi:type="xsd:double"&gt;0.5824&lt;/D&gt;&lt;/FQL&gt;&lt;FQL&gt;&lt;Q&gt;GE-US^FF_EPS_DIL(ANN_R,-9,0,Y,RP,USD,M)&lt;/Q&gt;&lt;R&gt;10&lt;/R&gt;&lt;C&gt;1&lt;/C&gt;&lt;D xsi:type="xsd:double"&gt;1.2313&lt;/D&gt;&lt;D xsi:type="xsd:double"&gt;1.3459&lt;/D&gt;&lt;D xsi:type="xsd:double"&gt;1.4393&lt;/D&gt;&lt;D xsi:type="xsd:double"&gt;1.5013&lt;/D&gt;&lt;D xsi:type="xsd:double"&gt;0.1454&lt;/D&gt;&lt;D xsi:type="xsd:double"&gt;1.0306&lt;/D&gt;&lt;D xsi:type="xsd:double"&gt;-1.0443&lt;/D&gt;&lt;D xsi:type="xsd:double"&gt;-2.6241&lt;/D&gt;&lt;D xsi:type="xsd:double"&gt;0.027&lt;/D&gt;&lt;D xsi:type="xsd:double"&gt;0.5819&lt;/D&gt;&lt;/FQL&gt;&lt;FQL&gt;&lt;Q&gt;GE-US^FF_EBITDA_OPER(ANN_R,-9,0,Y,RP,USD,M)&lt;/Q&gt;&lt;R&gt;10&lt;/R&gt;&lt;C&gt;1&lt;/C&gt;&lt;D xsi:type="xsd:double"&gt;42158&lt;/D&gt;&lt;D xsi:type="xsd:double"&gt;38880&lt;/D&gt;&lt;D xsi:type="xsd:double"&gt;35242&lt;/D&gt;&lt;D xsi:type="xsd:double"&gt;19681&lt;/D&gt;&lt;D xsi:type="xsd:double"&gt;18645&lt;/D&gt;&lt;D xsi:type="xsd:double"&gt;20771&lt;/D&gt;&lt;D xsi:type="xsd:double"&gt;7970&lt;/D&gt;&lt;D xsi:type="xsd:double"&gt;17055&lt;/D&gt;&lt;D xsi:type="xsd:double"&gt;14334&lt;/D&gt;&lt;D xsi:type="xsd:double"&gt;9079&lt;/D&gt;&lt;/FQL&gt;&lt;FQL&gt;&lt;Q&gt;GE-US^AVAIL(FF_DEP_AMORT_EXP(ANN_R,-9,0,Y,RP,USD,M),FF_DEP_EXP_CF(ANN_R,-9,0,Y,RP,USD,M))&lt;/Q&gt;&lt;R&gt;10&lt;/R&gt;&lt;C&gt;1&lt;/C&gt;&lt;D xsi:type="xsd:double"&gt;10917&lt;/D&gt;&lt;D xsi:type="xsd:double"&gt;10961&lt;/D&gt;&lt;D xsi:type="xsd:double"&gt;11473&lt;/D&gt;&lt;D xsi:type="xsd:double"&gt;6421&lt;/D&gt;&lt;D xsi:type="xsd:double"&gt;6500&lt;/D&gt;&lt;D xsi:type="xsd:double"&gt;6832&lt;/D&gt;&lt;D xsi:type="xsd:double"&gt;7429&lt;/D&gt;&lt;D xsi:type="xsd:double"&gt;6582&lt;/D&gt;&lt;D xsi:type="xsd:double"&gt;5595&lt;/D&gt;&lt;D xsi:type="xsd:double"&gt;6018&lt;/D&gt;&lt;/FQL&gt;&lt;FQL&gt;&lt;Q&gt;GE-US^FF_EBITDA_OPER_MGN(ANN_R,-9,0,Y,RP,LOCAL,M)&lt;/Q&gt;&lt;R&gt;10&lt;/R&gt;&lt;C&gt;1&lt;/C&gt;&lt;D xsi:type="xsd:double"&gt;29.5594617903394&lt;/D&gt;&lt;D xsi:type="xsd:double"&gt;26.8315574449291&lt;/D&gt;&lt;D xsi:type="xsd:double"&gt;24.6953548179136&lt;/D&gt;&lt;D xsi:type="xsd:double"&gt;16.8194986881799&lt;/D&gt;&lt;D xsi:type="xsd:double"&gt;16.0849235653404&lt;/D&gt;&lt;D xsi:type="xsd:double"&gt;17.3280831574469&lt;/D&gt;&lt;D xsi:type="xsd:double"&gt;6.74035672301954&lt;/D&gt;&lt;D xsi:type="xsd:double"&gt;17.3252742787485&lt;/D&gt;&lt;D xsi:type="xsd:double"&gt;15.0796907053811&lt;/D&gt;&lt;D xsi:type="xsd:double"&gt;11.3639492821649&lt;/D&gt;&lt;/FQL&gt;&lt;FQL&gt;&lt;Q&gt;GE-US^FF_ORDINARY_INC(ANN_R,-9,0,Y,RP,USD)&lt;/Q&gt;&lt;R&gt;10&lt;/R&gt;&lt;C&gt;1&lt;/C&gt;&lt;D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xsi:type="xsd:string"&gt;@NA&lt;/D&gt;&lt;/FQL&gt;&lt;FQL&gt;&lt;Q&gt;GE-US^FF_STK_OPT_EXP(ANN_R,-9,0,Y,RP,USD,M)&lt;/Q&gt;&lt;R&gt;10&lt;/R&gt;&lt;C&gt;1&lt;/C&gt;&lt;D xsi:type="xsd:double"&gt;151&lt;/D&gt;&lt;D xsi:type="xsd:double"&gt;146&lt;/D&gt;&lt;D xsi:type="xsd:double"&gt;148&lt;/D&gt;&lt;D xsi:type="xsd:double"&gt;124&lt;/D&gt;&lt;D xsi:type="xsd:double"&gt;183.6&lt;/D&gt;&lt;D xsi:type="xsd:double"&gt;178.2&lt;/D&gt;&lt;D xsi:type="xsd:double"&gt;241&lt;/D&gt;&lt;D xsi:type="xsd:double"&gt;336&lt;/D&gt;&lt;D xsi:type="xsd:double"&gt;400&lt;/D&gt;&lt;D xsi:type="xsd:double"&gt;353&lt;/D&gt;&lt;/FQL&gt;&lt;FQL&gt;&lt;Q&gt;GE-US^FF_OPER_LEASE_EXP(ANN_R,-9,0,Y,RP,USD,M)&lt;/Q&gt;&lt;R&gt;10&lt;/R&gt;&lt;C&gt;1&lt;/C&gt;&lt;D xsi:type="xsd:double"&gt;1583&lt;/D&gt;&lt;D xsi:type="xsd:double"&gt;1731&lt;/D&gt;&lt;D xsi:type="xsd:double"&gt;1513&lt;/D&gt;&lt;D xsi:type="xsd:double"&gt;1256&lt;/D&gt;&lt;D xsi:type="xsd:double"&gt;1196&lt;/D&gt;&lt;D xsi:type="xsd:double"&gt;1493&lt;/D&gt;&lt;D xsi:type="xsd:double"&gt;1661&lt;/D&gt;&lt;D xsi:type="xsd:double"&gt;1276&lt;/D&gt;&lt;D xsi:type="xsd:double"&gt;1176&lt;/D&gt;&lt;D xsi:type="xsd:double"&gt;1072&lt;/D&gt;&lt;/FQL&gt;&lt;FQL&gt;&lt;Q&gt;GE-US^FF_FOR_CURN_ADJ(ANN_R,-9,0,Y,RP,USD,M)&lt;/Q&gt;&lt;R&gt;10&lt;/R&gt;&lt;C&gt;1&lt;/C&gt;&lt;D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xsi:type="xsd:string"&gt;@NA&lt;/D&gt;&lt;/FQL&gt;&lt;FQL&gt;&lt;Q&gt;GE-US^FF_COM_SHS_OUT_EPS_BASIC(ANN_R,-9,0,Y,RP,USD,M)&lt;/Q&gt;&lt;R&gt;10&lt;/R&gt;&lt;C&gt;1&lt;/C&gt;&lt;D xsi:type="xsd:double"&gt;10591&lt;/D&gt;&lt;D xsi:type="xsd:double"&gt;10523&lt;/D&gt;&lt;D xsi:type="xsd:double"&gt;10222&lt;/D&gt;&lt;D xsi:type="xsd:double"&gt;10045&lt;/D&gt;&lt;D xsi:type="xsd:double"&gt;9944&lt;/D&gt;&lt;D xsi:type="xsd:double"&gt;9025&lt;/D&gt;&lt;D xsi:type="xsd:double"&gt;8687&lt;/D&gt;&lt;D xsi:type="xsd:double"&gt;8691&lt;/D&gt;&lt;D xsi:type="xsd:double"&gt;8724&lt;/D&gt;&lt;D xsi:type="xsd:double"&gt;8753&lt;/D&gt;&lt;/FQL&gt;&lt;FQL&gt;&lt;Q&gt;GE-US^FF_COM_SHS_OUT_EPS_DIL(ANN_R,-9,0,Y,RP,USD,M)&lt;/Q&gt;&lt;R&gt;10&lt;/R&gt;&lt;C&gt;1&lt;/C&gt;&lt;D xsi:type="xsd:double"&gt;10620&lt;/D&gt;&lt;D xsi:type="xsd:double"&gt;10564&lt;/D&gt;&lt;D xsi:type="xsd:double"&gt;10289&lt;/D&gt;&lt;D xsi:type="xsd:double"&gt;10123&lt;/D&gt;&lt;D xsi:type="xsd:double"&gt;10016&lt;/D&gt;&lt;D xsi:type="xsd:double"&gt;9130&lt;/D&gt;&lt;D xsi:type="xsd:double"&gt;8687&lt;/D&gt;&lt;D xsi:type="xsd:double"&gt;8691&lt;/D&gt;&lt;D xsi:type="xsd:double"&gt;8724&lt;/D&gt;&lt;D xsi:type="xsd:double"&gt;8761&lt;/D&gt;&lt;/FQL&gt;&lt;/Schema&gt;</t>
        </r>
      </text>
    </comment>
  </commentList>
</comments>
</file>

<file path=xl/sharedStrings.xml><?xml version="1.0" encoding="utf-8"?>
<sst xmlns="http://schemas.openxmlformats.org/spreadsheetml/2006/main" count="427" uniqueCount="240">
  <si>
    <t>This sheet contains FactSet XML data for use with this workbook's =FDS codes.  Modifying the worksheet's contents may damage the workbook's =FDS functionality.</t>
  </si>
  <si>
    <t>I</t>
  </si>
  <si>
    <t>Financial Statements</t>
  </si>
  <si>
    <t>II</t>
  </si>
  <si>
    <t>Valuation Models</t>
  </si>
  <si>
    <t>`</t>
  </si>
  <si>
    <t>Lululemon Athletica Inc.</t>
  </si>
  <si>
    <t>Income Statement</t>
  </si>
  <si>
    <t>2021</t>
  </si>
  <si>
    <t>2022</t>
  </si>
  <si>
    <t>2023</t>
  </si>
  <si>
    <t>2024</t>
  </si>
  <si>
    <t>2025</t>
  </si>
  <si>
    <t>2026E</t>
  </si>
  <si>
    <t>2027E</t>
  </si>
  <si>
    <t>Sales/Revenue</t>
  </si>
  <si>
    <t>Cost of Good Sold (Excluding D&amp;A)</t>
  </si>
  <si>
    <t>Gross Income</t>
  </si>
  <si>
    <t>SG&amp;A Expense</t>
  </si>
  <si>
    <t>Other Operating Expense</t>
  </si>
  <si>
    <t>EBITDA</t>
  </si>
  <si>
    <t>Depreciation &amp; Amortization</t>
  </si>
  <si>
    <t>EBIT (Operating Income)</t>
  </si>
  <si>
    <t>Nonoperating Income (Expense)</t>
  </si>
  <si>
    <t>Interest Expense</t>
  </si>
  <si>
    <t>Unusual Expense</t>
  </si>
  <si>
    <t>Pretax Income</t>
  </si>
  <si>
    <t>Income Taxes</t>
  </si>
  <si>
    <t>Minority Interest Expense</t>
  </si>
  <si>
    <t>Net Income</t>
  </si>
  <si>
    <t>Preferred Dividends</t>
  </si>
  <si>
    <t>Net Income available to Common</t>
  </si>
  <si>
    <t>Basic Shares Outstanding</t>
  </si>
  <si>
    <t>Diluted Shares Outstanding</t>
  </si>
  <si>
    <t>EPS Basic Shares Outstanding</t>
  </si>
  <si>
    <t>EPS Diluted Shares Outstanding</t>
  </si>
  <si>
    <t>Income Statement Items</t>
  </si>
  <si>
    <t>Assumptions</t>
  </si>
  <si>
    <t>Wall St Estimate for Next FY &amp; Next FY (+1)</t>
  </si>
  <si>
    <t xml:space="preserve">Last 5 yrs % of sales </t>
  </si>
  <si>
    <t>Sales/Revenue  - Cost of Good Sold (Excluding D&amp;A)</t>
  </si>
  <si>
    <t>Gross Income - SG&amp;A Expense - Other Operating Expense</t>
  </si>
  <si>
    <t xml:space="preserve">% of sales </t>
  </si>
  <si>
    <t>EBITDA - Depreciation &amp; Amortization</t>
  </si>
  <si>
    <t>Same as last reported</t>
  </si>
  <si>
    <t>Assume zero &amp; unless otherwise indicated by company management</t>
  </si>
  <si>
    <t>EBIT (Operating Income) + Nonoperating Income (Expense) - Interest Expense - Unusual Expense</t>
  </si>
  <si>
    <t>Pretax Income - Income Taxes - Minority Interest Expense</t>
  </si>
  <si>
    <t>Net Income - Preferred Dividends</t>
  </si>
  <si>
    <t>% of Sales</t>
  </si>
  <si>
    <t>Average</t>
  </si>
  <si>
    <t>Balance Sheet</t>
  </si>
  <si>
    <t>2020</t>
  </si>
  <si>
    <t>Assets</t>
  </si>
  <si>
    <t>Cash &amp; Equivalents (Cash &amp; ST Investments)</t>
  </si>
  <si>
    <t>Accounts Receivable</t>
  </si>
  <si>
    <t>Inventories</t>
  </si>
  <si>
    <t>Other Current Assets</t>
  </si>
  <si>
    <t>Total Current Assets</t>
  </si>
  <si>
    <t>Gross PP&amp;E</t>
  </si>
  <si>
    <t>Accumulated Depreciation</t>
  </si>
  <si>
    <t>Net PP&amp;E</t>
  </si>
  <si>
    <t>Total Investments and Advances</t>
  </si>
  <si>
    <t>Long-Term Note Receivable</t>
  </si>
  <si>
    <t>Intangibles</t>
  </si>
  <si>
    <t>Deferred Tax Assets</t>
  </si>
  <si>
    <t>Other Assets</t>
  </si>
  <si>
    <t>Total Non-Current Assets</t>
  </si>
  <si>
    <t>Total Assets</t>
  </si>
  <si>
    <t>Liabilities &amp; Shareholders' Equity</t>
  </si>
  <si>
    <t>Short Term Debt</t>
  </si>
  <si>
    <t>Accounts Payable</t>
  </si>
  <si>
    <t>Income Tax Payable</t>
  </si>
  <si>
    <t>Other Current Liabilities</t>
  </si>
  <si>
    <t>Total Current Liabilities</t>
  </si>
  <si>
    <t>Long Term Debt</t>
  </si>
  <si>
    <t>Provision for Risks &amp; Charges</t>
  </si>
  <si>
    <t>Deferred Tax Liabilities</t>
  </si>
  <si>
    <t>Other Liabilities</t>
  </si>
  <si>
    <t>Total Non-current Liabilities</t>
  </si>
  <si>
    <t>Total Liabilities</t>
  </si>
  <si>
    <t>Preferred Stock</t>
  </si>
  <si>
    <t>Stockholder's Equity</t>
  </si>
  <si>
    <t>Total Shareholders' Equity</t>
  </si>
  <si>
    <t>Accumulated Minority Interest</t>
  </si>
  <si>
    <t>Total Equity</t>
  </si>
  <si>
    <t>Total Liab. &amp; Equity</t>
  </si>
  <si>
    <t>Assets - Total Liab. &amp; Equity</t>
  </si>
  <si>
    <t>Days of Sales Outstanding (DSO)</t>
  </si>
  <si>
    <t>Days of Inventory on Hand (DIO)</t>
  </si>
  <si>
    <t>Days of Payables Outstanding (DPO)</t>
  </si>
  <si>
    <t>Balance Sheet Items</t>
  </si>
  <si>
    <t>Previous Year Cash &amp; Equivalents (Cash &amp; ST Investments) + Current Year Net Change in Cash from Cash Flow Statement</t>
  </si>
  <si>
    <t>last 5 Year Average DSO * Current Year Sales Revenue from Income statement  / 365</t>
  </si>
  <si>
    <t>last 5 Year Average DIO * Current Year Cost of Good Sold including Depreciation &amp; Amortization from Income Statement / 365</t>
  </si>
  <si>
    <t>Cash &amp; Equivalents (Cash &amp; ST Investments) + Accounts Receivable + Inventories + Other Current Assets</t>
  </si>
  <si>
    <t>Previous Year  Gross PP&amp;E + Current Year Capital Expenditures from Cash Flow Statement</t>
  </si>
  <si>
    <t>Previous Year Accumulated Depreciation + Current Depreciation &amp; Amortization from Income Statement</t>
  </si>
  <si>
    <t>Gross PP&amp;E - Accumulated Depreciation</t>
  </si>
  <si>
    <t>Net PP&amp;E + Total Investments and Advances + Long-Term Note Receivable + Intangibles + Deferred Tax Assets + Other Assets</t>
  </si>
  <si>
    <t>Total Current Assets + Total Non-Current Assets</t>
  </si>
  <si>
    <t>Previous Year Short Term Debt + Current Year Change in Current Debtt from Cash Flow Statement</t>
  </si>
  <si>
    <t>last 5 Year Average DPO * Current Year Cost of Good Sold excluding Depreciation &amp; Amortization /365</t>
  </si>
  <si>
    <t>Short Term Debt + Accounts Payable + Income Tax Payable + Other Current Liabilities</t>
  </si>
  <si>
    <t>Previous Year Long Term Debt + Current Year Change in Long-Term Debt from Cash Flow Statement</t>
  </si>
  <si>
    <t>Long Term Debt + Provision for Risks &amp; Charges + Deferred Tax Liabilities + Other Liabilities</t>
  </si>
  <si>
    <t>Total Current Liabilities + Total Non-current Liabilities</t>
  </si>
  <si>
    <t>Previous Year Stockholder's Equity + Current Year Net Income available to Common from Income Statement + Current Year Cash Dividends Paid from Cash Flow Statement</t>
  </si>
  <si>
    <t>Preferred Stock + Stockholder's Equity</t>
  </si>
  <si>
    <t>Total Shareholders' Equity + Accumulated Minority Interest</t>
  </si>
  <si>
    <t>Total Liabilities + Total Equity</t>
  </si>
  <si>
    <t>Statement of Cash Flows</t>
  </si>
  <si>
    <t>Operating Activities</t>
  </si>
  <si>
    <t>Depreciation, Depletion &amp; Amortization</t>
  </si>
  <si>
    <t>Deferred Taxes &amp; Investment Tax Credit</t>
  </si>
  <si>
    <t>Other Funds</t>
  </si>
  <si>
    <t>Funds from Operations</t>
  </si>
  <si>
    <t>Change in Receivables (Previous FY - Current FY)</t>
  </si>
  <si>
    <t>Change in Inventories (Previous FY - Current FY)</t>
  </si>
  <si>
    <t>Change in Accounts Payable (Current FY - Previous FY)</t>
  </si>
  <si>
    <t>Other Assets/Liabilities</t>
  </si>
  <si>
    <t>Changes in Working Capital</t>
  </si>
  <si>
    <t>Net Operating Cash Flow</t>
  </si>
  <si>
    <t>Investing Activities</t>
  </si>
  <si>
    <t>Capital Expenditures</t>
  </si>
  <si>
    <t>Net Assets from Acquisitions</t>
  </si>
  <si>
    <t>Sale of Fixed Assets &amp; Businesses</t>
  </si>
  <si>
    <t>Purchase/Sale of Investments</t>
  </si>
  <si>
    <t>Net Investing Cash Flow</t>
  </si>
  <si>
    <t>Financing Activities</t>
  </si>
  <si>
    <t>Change in Current Debt</t>
  </si>
  <si>
    <t>Change in Long-Term Debt</t>
  </si>
  <si>
    <t>Issuance/Reduction of Debt, Net</t>
  </si>
  <si>
    <t>Common Dividends</t>
  </si>
  <si>
    <t>Cash Dividends Paid</t>
  </si>
  <si>
    <t>Change in Capital Stock</t>
  </si>
  <si>
    <t>Net Financing Cash Flow</t>
  </si>
  <si>
    <t>Net Change in Cash</t>
  </si>
  <si>
    <t>Cash Flow Statement Items</t>
  </si>
  <si>
    <t>Current Year Net Income available to Common from Income Statement</t>
  </si>
  <si>
    <t>Current Year Depreciation &amp; Amortization from Income Statement</t>
  </si>
  <si>
    <t>Assume Zero</t>
  </si>
  <si>
    <t>Net Income + Depreciation, Depletion &amp; Amortization + Deferred Taxes &amp; Investment Tax Credit + Other Funds</t>
  </si>
  <si>
    <t>Previous Year Accounts Receivable - Current Year Accounts Receivable from Balance Sheet</t>
  </si>
  <si>
    <t>Previous Year Accounts Inventories - Current Year Accounts Inventories from Balance Sheet</t>
  </si>
  <si>
    <t>Current Year Accounts Payable - Previous Year Accounts Payable from Balance Sheet</t>
  </si>
  <si>
    <t>Change in Receivables + Change in Inventories +  Change in Accounts Payable</t>
  </si>
  <si>
    <t xml:space="preserve">Funds from Operations + Changes in Working Capital </t>
  </si>
  <si>
    <t>Capital Expenditures + Net Assets from Acquisitions + Sale of Fixed Assets &amp; Businesses + Purchase/Sale of Investments + Other Funds</t>
  </si>
  <si>
    <t>Change in Current Debt + Change in Long-Term Debt</t>
  </si>
  <si>
    <t>Current Preferred Dividends from Income Statement * -1,  Note: Change of Sign to Represent Cash Outflow</t>
  </si>
  <si>
    <t>Assume previous year's Dividend Payout Ratio: Previous Year Common Dividends / Previous Year Net Income available to Common from Income Statement * Current Year Net Income available to Common from Income Statement</t>
  </si>
  <si>
    <t>Preferred Dividends + Common Dividends</t>
  </si>
  <si>
    <t>Issuance/Reduction of Debt, Net + Cash Dividends Paid + Change in Capital Stock  + Other Funds</t>
  </si>
  <si>
    <t>Net Operating Cash Flow + Net Investing Cash Flow + Net Financing Cash Flow</t>
  </si>
  <si>
    <t>WACC Model</t>
  </si>
  <si>
    <t>Cost of Equity - CAPM (Ke)</t>
  </si>
  <si>
    <t>Cost of Debt (kd):</t>
  </si>
  <si>
    <t>Capital Structure</t>
  </si>
  <si>
    <t>Beta:</t>
  </si>
  <si>
    <t>Cost of debt (kd):</t>
  </si>
  <si>
    <t>Equity %:</t>
  </si>
  <si>
    <t>Risk Free Rate (Rf):</t>
  </si>
  <si>
    <t>Tax rate:</t>
  </si>
  <si>
    <t>Debt %:</t>
  </si>
  <si>
    <t>Market Return (Rm):</t>
  </si>
  <si>
    <t>After tax (kd):</t>
  </si>
  <si>
    <t>Total:</t>
  </si>
  <si>
    <t>Cost of equity (Ke):</t>
  </si>
  <si>
    <t>WACC</t>
  </si>
  <si>
    <t>WACC Sensitivity to Beta vs. Capital Structure</t>
  </si>
  <si>
    <t>% Equity</t>
  </si>
  <si>
    <t>Beta</t>
  </si>
  <si>
    <t xml:space="preserve">DDM Model- Gordon Growth </t>
  </si>
  <si>
    <t>Current Dividend Per Share (DPS):</t>
  </si>
  <si>
    <t>N/A - LULU does not pay dividends</t>
  </si>
  <si>
    <t>Growth Rate (g):</t>
  </si>
  <si>
    <t>Discount Rate (k):</t>
  </si>
  <si>
    <t>Current Stock Price:</t>
  </si>
  <si>
    <t>Value of Stock:</t>
  </si>
  <si>
    <t>Price</t>
  </si>
  <si>
    <t>DDM Model- Gordon Growth  (Two-Stage)</t>
  </si>
  <si>
    <t>Growth Rate for Stage 1 (g1):</t>
  </si>
  <si>
    <t>Growth Rate (g2):</t>
  </si>
  <si>
    <t>Calculation Eample 1</t>
  </si>
  <si>
    <t>Terminal value</t>
  </si>
  <si>
    <t>Calculation Eample 2</t>
  </si>
  <si>
    <t>DCF Model</t>
  </si>
  <si>
    <t>Income statement</t>
  </si>
  <si>
    <t>(millions)</t>
  </si>
  <si>
    <t>Revenues</t>
  </si>
  <si>
    <t>Cost of Good Sold</t>
  </si>
  <si>
    <t>SG&amp;A</t>
  </si>
  <si>
    <t>Others</t>
  </si>
  <si>
    <t>Operating income (EBIT)</t>
  </si>
  <si>
    <t>Interest expense</t>
  </si>
  <si>
    <t>Taxable income</t>
  </si>
  <si>
    <t>Taxes</t>
  </si>
  <si>
    <t>Net income</t>
  </si>
  <si>
    <t>I) Cash Flow Analysis (Free Cash Flow to Firm: FCFF)</t>
  </si>
  <si>
    <t>FY-4</t>
  </si>
  <si>
    <t>FY-3</t>
  </si>
  <si>
    <t>FY-2</t>
  </si>
  <si>
    <t>FY-1</t>
  </si>
  <si>
    <t>FY0</t>
  </si>
  <si>
    <t>FY+1</t>
  </si>
  <si>
    <t>FY+2</t>
  </si>
  <si>
    <t>FY+3</t>
  </si>
  <si>
    <t>FY+4</t>
  </si>
  <si>
    <t>FY+5</t>
  </si>
  <si>
    <t>EBIT *(1-Tax)</t>
  </si>
  <si>
    <t>+ D&amp;A</t>
  </si>
  <si>
    <t>- Chg. In WC</t>
  </si>
  <si>
    <t>- CAPEX</t>
  </si>
  <si>
    <t>Free Cash Flow to Firm</t>
  </si>
  <si>
    <t>Terminal Value:</t>
  </si>
  <si>
    <t>Total PV of FCFF:</t>
  </si>
  <si>
    <t>- Net Debt (Total Debt - Cash &amp; Eq)</t>
  </si>
  <si>
    <t>Per share value:</t>
  </si>
  <si>
    <t>II) Cash Flow Analysis (Free Cash Flow to Shareholders)</t>
  </si>
  <si>
    <t>Free Cash Flow to Shareholders</t>
  </si>
  <si>
    <t>Total PV of Free Cash Flow to Shareholders:</t>
  </si>
  <si>
    <t>DCF Assumptions Based on History</t>
  </si>
  <si>
    <t>Revenue Growth</t>
  </si>
  <si>
    <t xml:space="preserve"> </t>
  </si>
  <si>
    <t>COGS margin:</t>
  </si>
  <si>
    <t>SG&amp;A/Sales</t>
  </si>
  <si>
    <t>Others /Sales</t>
  </si>
  <si>
    <t>D&amp;A / Sales</t>
  </si>
  <si>
    <t>CAPEX Growth Rate</t>
  </si>
  <si>
    <t>WACC:</t>
  </si>
  <si>
    <t># of shares out (millions)</t>
  </si>
  <si>
    <t>Current Stock Price (10/7/2021)</t>
  </si>
  <si>
    <t>Next FY EPS</t>
  </si>
  <si>
    <t>P/E Terminal Multiple</t>
  </si>
  <si>
    <t>Last Reported Fiscal Year (2024)</t>
  </si>
  <si>
    <t>Last Reported Fiscal Year (2023)</t>
  </si>
  <si>
    <t>Last Reported Fiscal Year (2022)</t>
  </si>
  <si>
    <t>Last Reported Fiscal Year (2021)</t>
  </si>
  <si>
    <t>Last Reported Fiscal Year(2025)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</si>
</sst>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6" formatCode="&quot;$&quot;#,##0_);[Red]\(&quot;$&quot;#,##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0.000000%"/>
    <numFmt numFmtId="167" formatCode="#,##0.000;[Red]\-#,##0.000"/>
  </numFmts>
  <fonts count="42" x14ac:knownFonts="1">
    <font>
      <sz val="10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10"/>
      <name val="Arial"/>
      <family val="2"/>
    </font>
    <font>
      <sz val="10"/>
      <color indexed="10"/>
      <name val="Arial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sz val="10"/>
      <color rgb="FF0070C0"/>
      <name val="Arial"/>
      <family val="2"/>
    </font>
    <font>
      <b/>
      <sz val="10"/>
      <color rgb="FF0070C0"/>
      <name val="Arial"/>
      <family val="2"/>
    </font>
    <font>
      <sz val="10"/>
      <color rgb="FFFF0000"/>
      <name val="Arial"/>
      <family val="2"/>
    </font>
    <font>
      <sz val="10"/>
      <name val="Arial"/>
      <family val="2"/>
    </font>
    <font>
      <sz val="10"/>
      <color indexed="39"/>
      <name val="Arial"/>
      <family val="2"/>
    </font>
    <font>
      <b/>
      <sz val="14"/>
      <name val="Arial"/>
      <family val="2"/>
    </font>
    <font>
      <b/>
      <sz val="16"/>
      <name val="Arial"/>
      <family val="2"/>
    </font>
    <font>
      <sz val="16"/>
      <name val="Arial"/>
      <family val="2"/>
    </font>
    <font>
      <sz val="10"/>
      <color indexed="9"/>
      <name val="Arial"/>
      <family val="2"/>
    </font>
    <font>
      <b/>
      <i/>
      <u/>
      <sz val="10"/>
      <name val="Arial"/>
      <family val="2"/>
    </font>
    <font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color indexed="12"/>
      <name val="Arial"/>
      <family val="2"/>
    </font>
    <font>
      <i/>
      <sz val="10"/>
      <name val="Arial"/>
      <family val="2"/>
    </font>
    <font>
      <b/>
      <sz val="12"/>
      <name val="Arial"/>
      <family val="2"/>
    </font>
    <font>
      <b/>
      <sz val="12"/>
      <color indexed="9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b/>
      <u/>
      <sz val="12"/>
      <color theme="1"/>
      <name val="Arial"/>
      <family val="2"/>
    </font>
    <font>
      <b/>
      <u/>
      <sz val="12"/>
      <name val="Arial"/>
      <family val="2"/>
    </font>
    <font>
      <sz val="12"/>
      <color rgb="FF000000"/>
      <name val="Times New Roman"/>
      <family val="1"/>
    </font>
    <font>
      <i/>
      <sz val="9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b/>
      <sz val="14"/>
      <name val="Times New Roman"/>
      <family val="1"/>
    </font>
    <font>
      <b/>
      <sz val="12"/>
      <name val="Times New Roman"/>
      <family val="1"/>
    </font>
    <font>
      <b/>
      <sz val="10"/>
      <color rgb="FFC00000"/>
      <name val="Arial"/>
      <family val="2"/>
    </font>
    <font>
      <b/>
      <u/>
      <sz val="24"/>
      <name val="Times New Roman"/>
      <family val="1"/>
    </font>
    <font>
      <sz val="10"/>
      <color rgb="FF000000"/>
      <name val="Arial"/>
      <family val="2"/>
    </font>
    <font>
      <sz val="9"/>
      <color theme="1"/>
      <name val="Times New Roman"/>
      <family val="1"/>
    </font>
    <font>
      <b/>
      <sz val="14"/>
      <name val="Arial"/>
    </font>
    <font>
      <b/>
      <sz val="12"/>
      <name val="Arial"/>
    </font>
  </fonts>
  <fills count="1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EFF6FB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3"/>
        <bgColor indexed="64"/>
      </patternFill>
    </fill>
  </fills>
  <borders count="4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double">
        <color auto="1"/>
      </bottom>
      <diagonal/>
    </border>
    <border>
      <left style="thick">
        <color theme="0"/>
      </left>
      <right/>
      <top/>
      <bottom/>
      <diagonal/>
    </border>
    <border>
      <left/>
      <right/>
      <top/>
      <bottom style="medium">
        <color auto="1"/>
      </bottom>
      <diagonal/>
    </border>
    <border>
      <left style="medium">
        <color theme="4"/>
      </left>
      <right style="medium">
        <color theme="4"/>
      </right>
      <top style="medium">
        <color theme="4"/>
      </top>
      <bottom style="medium">
        <color theme="4"/>
      </bottom>
      <diagonal/>
    </border>
    <border>
      <left style="medium">
        <color theme="4"/>
      </left>
      <right/>
      <top/>
      <bottom/>
      <diagonal/>
    </border>
    <border>
      <left style="medium">
        <color theme="4"/>
      </left>
      <right/>
      <top/>
      <bottom style="medium">
        <color theme="4"/>
      </bottom>
      <diagonal/>
    </border>
    <border>
      <left/>
      <right/>
      <top/>
      <bottom style="medium">
        <color theme="4"/>
      </bottom>
      <diagonal/>
    </border>
    <border>
      <left style="medium">
        <color theme="4"/>
      </left>
      <right/>
      <top style="medium">
        <color theme="4"/>
      </top>
      <bottom style="medium">
        <color theme="4"/>
      </bottom>
      <diagonal/>
    </border>
    <border>
      <left/>
      <right/>
      <top style="medium">
        <color theme="4"/>
      </top>
      <bottom style="medium">
        <color theme="4"/>
      </bottom>
      <diagonal/>
    </border>
    <border>
      <left style="medium">
        <color theme="4"/>
      </left>
      <right style="medium">
        <color theme="4"/>
      </right>
      <top/>
      <bottom/>
      <diagonal/>
    </border>
    <border>
      <left style="medium">
        <color theme="4"/>
      </left>
      <right style="medium">
        <color theme="4"/>
      </right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  <border>
      <left style="thick">
        <color indexed="9"/>
      </left>
      <right style="thick">
        <color indexed="9"/>
      </right>
      <top style="thick">
        <color indexed="9"/>
      </top>
      <bottom style="thick">
        <color indexed="9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 style="thick">
        <color indexed="9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ck">
        <color indexed="9"/>
      </left>
      <right style="thin">
        <color indexed="64"/>
      </right>
      <top style="thick">
        <color indexed="9"/>
      </top>
      <bottom style="thick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 style="thick">
        <color indexed="64"/>
      </top>
      <bottom style="hair">
        <color indexed="64"/>
      </bottom>
      <diagonal/>
    </border>
    <border>
      <left/>
      <right style="thick">
        <color indexed="64"/>
      </right>
      <top style="thick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thick">
        <color indexed="64"/>
      </right>
      <top style="hair">
        <color indexed="64"/>
      </top>
      <bottom/>
      <diagonal/>
    </border>
    <border>
      <left/>
      <right style="thick">
        <color indexed="9"/>
      </right>
      <top style="thick">
        <color indexed="9"/>
      </top>
      <bottom style="thick">
        <color indexed="9"/>
      </bottom>
      <diagonal/>
    </border>
    <border>
      <left/>
      <right/>
      <top style="thick">
        <color indexed="9"/>
      </top>
      <bottom style="thick">
        <color indexed="9"/>
      </bottom>
      <diagonal/>
    </border>
  </borders>
  <cellStyleXfs count="10">
    <xf numFmtId="0" fontId="0" fillId="0" borderId="0"/>
    <xf numFmtId="43" fontId="2" fillId="0" borderId="0"/>
    <xf numFmtId="9" fontId="2" fillId="0" borderId="0"/>
    <xf numFmtId="0" fontId="4" fillId="0" borderId="0"/>
    <xf numFmtId="0" fontId="2" fillId="0" borderId="0"/>
    <xf numFmtId="44" fontId="13" fillId="0" borderId="0"/>
    <xf numFmtId="0" fontId="9" fillId="3" borderId="0"/>
    <xf numFmtId="0" fontId="13" fillId="0" borderId="0"/>
    <xf numFmtId="9" fontId="13" fillId="0" borderId="0"/>
    <xf numFmtId="43" fontId="13" fillId="0" borderId="0"/>
  </cellStyleXfs>
  <cellXfs count="227">
    <xf numFmtId="0" fontId="0" fillId="0" borderId="0" xfId="0"/>
    <xf numFmtId="2" fontId="6" fillId="0" borderId="0" xfId="0" applyNumberFormat="1" applyFont="1"/>
    <xf numFmtId="2" fontId="3" fillId="0" borderId="0" xfId="0" applyNumberFormat="1" applyFont="1" applyAlignment="1">
      <alignment horizontal="left" indent="2"/>
    </xf>
    <xf numFmtId="3" fontId="3" fillId="0" borderId="2" xfId="0" applyNumberFormat="1" applyFont="1" applyBorder="1"/>
    <xf numFmtId="0" fontId="3" fillId="0" borderId="0" xfId="0" applyFont="1" applyAlignment="1">
      <alignment horizontal="left" indent="2"/>
    </xf>
    <xf numFmtId="3" fontId="3" fillId="0" borderId="3" xfId="0" applyNumberFormat="1" applyFont="1" applyBorder="1"/>
    <xf numFmtId="2" fontId="8" fillId="0" borderId="0" xfId="0" applyNumberFormat="1" applyFont="1" applyAlignment="1">
      <alignment horizontal="left"/>
    </xf>
    <xf numFmtId="2" fontId="6" fillId="0" borderId="0" xfId="0" applyNumberFormat="1" applyFont="1" applyAlignment="1">
      <alignment horizontal="left"/>
    </xf>
    <xf numFmtId="0" fontId="6" fillId="0" borderId="0" xfId="0" applyFont="1" applyAlignment="1">
      <alignment horizontal="center" wrapText="1"/>
    </xf>
    <xf numFmtId="3" fontId="0" fillId="0" borderId="2" xfId="0" applyNumberFormat="1" applyBorder="1"/>
    <xf numFmtId="3" fontId="0" fillId="0" borderId="0" xfId="0" applyNumberFormat="1"/>
    <xf numFmtId="2" fontId="3" fillId="0" borderId="0" xfId="4" applyNumberFormat="1" applyFont="1" applyAlignment="1">
      <alignment horizontal="left"/>
    </xf>
    <xf numFmtId="0" fontId="6" fillId="2" borderId="0" xfId="0" applyFont="1" applyFill="1" applyAlignment="1">
      <alignment horizontal="center" wrapText="1"/>
    </xf>
    <xf numFmtId="49" fontId="3" fillId="0" borderId="4" xfId="6" applyNumberFormat="1" applyFont="1" applyFill="1" applyBorder="1" applyAlignment="1">
      <alignment horizontal="left"/>
    </xf>
    <xf numFmtId="0" fontId="3" fillId="0" borderId="4" xfId="6" applyFont="1" applyFill="1" applyBorder="1" applyAlignment="1">
      <alignment horizontal="left"/>
    </xf>
    <xf numFmtId="0" fontId="6" fillId="0" borderId="0" xfId="0" applyFont="1"/>
    <xf numFmtId="49" fontId="3" fillId="0" borderId="4" xfId="6" applyNumberFormat="1" applyFont="1" applyFill="1" applyBorder="1" applyAlignment="1">
      <alignment horizontal="left" indent="3"/>
    </xf>
    <xf numFmtId="49" fontId="6" fillId="0" borderId="4" xfId="6" applyNumberFormat="1" applyFont="1" applyFill="1" applyBorder="1" applyAlignment="1">
      <alignment horizontal="left" indent="1"/>
    </xf>
    <xf numFmtId="49" fontId="3" fillId="0" borderId="0" xfId="6" applyNumberFormat="1" applyFont="1" applyFill="1" applyAlignment="1">
      <alignment horizontal="left"/>
    </xf>
    <xf numFmtId="1" fontId="0" fillId="0" borderId="0" xfId="0" applyNumberFormat="1"/>
    <xf numFmtId="2" fontId="10" fillId="0" borderId="0" xfId="0" applyNumberFormat="1" applyFont="1" applyAlignment="1">
      <alignment horizontal="left" indent="2"/>
    </xf>
    <xf numFmtId="0" fontId="10" fillId="0" borderId="0" xfId="0" applyFont="1" applyAlignment="1">
      <alignment horizontal="left" indent="2"/>
    </xf>
    <xf numFmtId="0" fontId="10" fillId="0" borderId="0" xfId="0" applyFont="1"/>
    <xf numFmtId="0" fontId="11" fillId="0" borderId="0" xfId="0" applyFont="1"/>
    <xf numFmtId="2" fontId="6" fillId="0" borderId="0" xfId="4" applyNumberFormat="1" applyFont="1"/>
    <xf numFmtId="3" fontId="0" fillId="0" borderId="0" xfId="1" applyNumberFormat="1" applyFont="1"/>
    <xf numFmtId="0" fontId="10" fillId="0" borderId="0" xfId="0" applyFont="1" applyAlignment="1">
      <alignment horizontal="left" indent="3"/>
    </xf>
    <xf numFmtId="1" fontId="10" fillId="0" borderId="0" xfId="0" applyNumberFormat="1" applyFont="1"/>
    <xf numFmtId="2" fontId="10" fillId="0" borderId="0" xfId="4" applyNumberFormat="1" applyFont="1" applyAlignment="1">
      <alignment horizontal="left"/>
    </xf>
    <xf numFmtId="49" fontId="10" fillId="0" borderId="4" xfId="6" applyNumberFormat="1" applyFont="1" applyFill="1" applyBorder="1" applyAlignment="1">
      <alignment horizontal="left" indent="3"/>
    </xf>
    <xf numFmtId="49" fontId="10" fillId="0" borderId="4" xfId="6" applyNumberFormat="1" applyFont="1" applyFill="1" applyBorder="1" applyAlignment="1">
      <alignment horizontal="left"/>
    </xf>
    <xf numFmtId="0" fontId="0" fillId="0" borderId="0" xfId="0" applyAlignment="1">
      <alignment wrapText="1"/>
    </xf>
    <xf numFmtId="4" fontId="0" fillId="0" borderId="0" xfId="5" applyNumberFormat="1" applyFont="1"/>
    <xf numFmtId="2" fontId="5" fillId="0" borderId="0" xfId="4" applyNumberFormat="1" applyFont="1" applyAlignment="1">
      <alignment horizontal="left"/>
    </xf>
    <xf numFmtId="0" fontId="0" fillId="0" borderId="0" xfId="0" applyAlignment="1">
      <alignment horizontal="left" indent="2"/>
    </xf>
    <xf numFmtId="49" fontId="0" fillId="0" borderId="4" xfId="6" applyNumberFormat="1" applyFont="1" applyFill="1" applyBorder="1" applyAlignment="1">
      <alignment horizontal="left" indent="3"/>
    </xf>
    <xf numFmtId="3" fontId="0" fillId="0" borderId="3" xfId="1" applyNumberFormat="1" applyFont="1" applyBorder="1"/>
    <xf numFmtId="3" fontId="3" fillId="0" borderId="2" xfId="1" applyNumberFormat="1" applyFont="1" applyBorder="1"/>
    <xf numFmtId="3" fontId="3" fillId="0" borderId="5" xfId="1" applyNumberFormat="1" applyFont="1" applyBorder="1"/>
    <xf numFmtId="3" fontId="3" fillId="0" borderId="0" xfId="1" applyNumberFormat="1" applyFont="1" applyAlignment="1">
      <alignment horizontal="left"/>
    </xf>
    <xf numFmtId="3" fontId="6" fillId="0" borderId="0" xfId="1" applyNumberFormat="1" applyFont="1"/>
    <xf numFmtId="3" fontId="3" fillId="0" borderId="0" xfId="1" applyNumberFormat="1" applyFont="1" applyAlignment="1">
      <alignment horizontal="left" indent="3"/>
    </xf>
    <xf numFmtId="43" fontId="0" fillId="0" borderId="0" xfId="0" applyNumberFormat="1"/>
    <xf numFmtId="3" fontId="3" fillId="0" borderId="0" xfId="1" applyNumberFormat="1" applyFont="1"/>
    <xf numFmtId="0" fontId="13" fillId="0" borderId="0" xfId="7"/>
    <xf numFmtId="10" fontId="6" fillId="0" borderId="0" xfId="8" applyNumberFormat="1" applyFont="1"/>
    <xf numFmtId="0" fontId="3" fillId="0" borderId="0" xfId="7" applyFont="1"/>
    <xf numFmtId="0" fontId="6" fillId="0" borderId="0" xfId="7" applyFont="1"/>
    <xf numFmtId="0" fontId="13" fillId="0" borderId="14" xfId="7" applyBorder="1" applyAlignment="1">
      <alignment horizontal="right"/>
    </xf>
    <xf numFmtId="4" fontId="13" fillId="0" borderId="14" xfId="7" applyNumberFormat="1" applyBorder="1"/>
    <xf numFmtId="10" fontId="14" fillId="4" borderId="15" xfId="8" applyNumberFormat="1" applyFont="1" applyFill="1" applyBorder="1"/>
    <xf numFmtId="0" fontId="15" fillId="0" borderId="0" xfId="7" applyFont="1"/>
    <xf numFmtId="0" fontId="16" fillId="0" borderId="0" xfId="7" applyFont="1"/>
    <xf numFmtId="9" fontId="13" fillId="0" borderId="14" xfId="7" applyNumberFormat="1" applyBorder="1"/>
    <xf numFmtId="0" fontId="17" fillId="0" borderId="0" xfId="7" applyFont="1"/>
    <xf numFmtId="0" fontId="6" fillId="0" borderId="0" xfId="7" applyFont="1" applyAlignment="1">
      <alignment horizontal="center"/>
    </xf>
    <xf numFmtId="43" fontId="0" fillId="0" borderId="0" xfId="9" applyFont="1"/>
    <xf numFmtId="10" fontId="13" fillId="0" borderId="16" xfId="7" applyNumberFormat="1" applyBorder="1"/>
    <xf numFmtId="10" fontId="13" fillId="0" borderId="17" xfId="7" applyNumberFormat="1" applyBorder="1"/>
    <xf numFmtId="43" fontId="18" fillId="5" borderId="18" xfId="9" applyFont="1" applyFill="1" applyBorder="1"/>
    <xf numFmtId="0" fontId="13" fillId="0" borderId="19" xfId="7" applyBorder="1"/>
    <xf numFmtId="10" fontId="13" fillId="0" borderId="20" xfId="7" applyNumberFormat="1" applyBorder="1"/>
    <xf numFmtId="10" fontId="13" fillId="0" borderId="21" xfId="7" applyNumberFormat="1" applyBorder="1"/>
    <xf numFmtId="43" fontId="18" fillId="5" borderId="15" xfId="9" applyFont="1" applyFill="1" applyBorder="1"/>
    <xf numFmtId="0" fontId="13" fillId="0" borderId="22" xfId="7" applyBorder="1"/>
    <xf numFmtId="0" fontId="6" fillId="0" borderId="22" xfId="7" applyFont="1" applyBorder="1" applyAlignment="1">
      <alignment horizontal="right"/>
    </xf>
    <xf numFmtId="10" fontId="13" fillId="0" borderId="23" xfId="7" applyNumberFormat="1" applyBorder="1"/>
    <xf numFmtId="10" fontId="13" fillId="0" borderId="24" xfId="7" applyNumberFormat="1" applyBorder="1"/>
    <xf numFmtId="9" fontId="18" fillId="5" borderId="25" xfId="7" applyNumberFormat="1" applyFont="1" applyFill="1" applyBorder="1" applyAlignment="1">
      <alignment horizontal="center"/>
    </xf>
    <xf numFmtId="9" fontId="18" fillId="5" borderId="15" xfId="7" applyNumberFormat="1" applyFont="1" applyFill="1" applyBorder="1" applyAlignment="1">
      <alignment horizontal="center"/>
    </xf>
    <xf numFmtId="10" fontId="18" fillId="6" borderId="15" xfId="7" applyNumberFormat="1" applyFont="1" applyFill="1" applyBorder="1"/>
    <xf numFmtId="0" fontId="13" fillId="0" borderId="1" xfId="7" applyBorder="1"/>
    <xf numFmtId="0" fontId="13" fillId="0" borderId="27" xfId="7" applyBorder="1"/>
    <xf numFmtId="10" fontId="6" fillId="0" borderId="0" xfId="7" applyNumberFormat="1" applyFont="1"/>
    <xf numFmtId="43" fontId="14" fillId="4" borderId="15" xfId="9" applyFont="1" applyFill="1" applyBorder="1"/>
    <xf numFmtId="43" fontId="13" fillId="0" borderId="0" xfId="7" applyNumberFormat="1"/>
    <xf numFmtId="4" fontId="13" fillId="0" borderId="0" xfId="7" applyNumberFormat="1"/>
    <xf numFmtId="4" fontId="20" fillId="7" borderId="21" xfId="7" applyNumberFormat="1" applyFont="1" applyFill="1" applyBorder="1"/>
    <xf numFmtId="0" fontId="13" fillId="0" borderId="21" xfId="7" applyBorder="1"/>
    <xf numFmtId="4" fontId="13" fillId="0" borderId="21" xfId="7" applyNumberFormat="1" applyBorder="1"/>
    <xf numFmtId="10" fontId="20" fillId="0" borderId="21" xfId="7" applyNumberFormat="1" applyFont="1" applyBorder="1"/>
    <xf numFmtId="4" fontId="20" fillId="0" borderId="21" xfId="7" applyNumberFormat="1" applyFont="1" applyBorder="1"/>
    <xf numFmtId="10" fontId="21" fillId="0" borderId="21" xfId="8" applyNumberFormat="1" applyFont="1" applyBorder="1"/>
    <xf numFmtId="10" fontId="21" fillId="0" borderId="21" xfId="7" applyNumberFormat="1" applyFont="1" applyBorder="1"/>
    <xf numFmtId="10" fontId="20" fillId="0" borderId="0" xfId="7" applyNumberFormat="1" applyFont="1"/>
    <xf numFmtId="0" fontId="6" fillId="0" borderId="32" xfId="7" applyFont="1" applyBorder="1"/>
    <xf numFmtId="0" fontId="13" fillId="0" borderId="30" xfId="7" quotePrefix="1" applyBorder="1"/>
    <xf numFmtId="0" fontId="13" fillId="0" borderId="33" xfId="7" quotePrefix="1" applyBorder="1"/>
    <xf numFmtId="0" fontId="13" fillId="0" borderId="30" xfId="7" applyBorder="1"/>
    <xf numFmtId="0" fontId="6" fillId="0" borderId="34" xfId="7" applyFont="1" applyBorder="1" applyAlignment="1">
      <alignment horizontal="center"/>
    </xf>
    <xf numFmtId="0" fontId="6" fillId="8" borderId="35" xfId="7" applyFont="1" applyFill="1" applyBorder="1" applyAlignment="1">
      <alignment horizontal="center"/>
    </xf>
    <xf numFmtId="0" fontId="6" fillId="8" borderId="34" xfId="7" applyFont="1" applyFill="1" applyBorder="1" applyAlignment="1">
      <alignment horizontal="center"/>
    </xf>
    <xf numFmtId="0" fontId="23" fillId="0" borderId="35" xfId="7" applyFont="1" applyBorder="1"/>
    <xf numFmtId="0" fontId="6" fillId="0" borderId="37" xfId="7" applyFont="1" applyBorder="1"/>
    <xf numFmtId="0" fontId="13" fillId="0" borderId="39" xfId="7" applyBorder="1"/>
    <xf numFmtId="43" fontId="0" fillId="0" borderId="39" xfId="9" applyFont="1" applyBorder="1" applyAlignment="1">
      <alignment horizontal="left"/>
    </xf>
    <xf numFmtId="0" fontId="13" fillId="0" borderId="33" xfId="7" applyBorder="1"/>
    <xf numFmtId="0" fontId="24" fillId="0" borderId="0" xfId="7" applyFont="1"/>
    <xf numFmtId="41" fontId="20" fillId="8" borderId="30" xfId="9" applyNumberFormat="1" applyFont="1" applyFill="1" applyBorder="1"/>
    <xf numFmtId="1" fontId="20" fillId="8" borderId="38" xfId="9" applyNumberFormat="1" applyFont="1" applyFill="1" applyBorder="1"/>
    <xf numFmtId="1" fontId="20" fillId="8" borderId="39" xfId="9" applyNumberFormat="1" applyFont="1" applyFill="1" applyBorder="1"/>
    <xf numFmtId="10" fontId="6" fillId="0" borderId="0" xfId="7" applyNumberFormat="1" applyFont="1" applyAlignment="1">
      <alignment horizontal="center"/>
    </xf>
    <xf numFmtId="10" fontId="7" fillId="0" borderId="21" xfId="7" applyNumberFormat="1" applyFont="1" applyBorder="1"/>
    <xf numFmtId="10" fontId="0" fillId="0" borderId="21" xfId="7" applyNumberFormat="1" applyFont="1" applyBorder="1"/>
    <xf numFmtId="10" fontId="12" fillId="0" borderId="15" xfId="8" applyNumberFormat="1" applyFont="1" applyBorder="1"/>
    <xf numFmtId="2" fontId="26" fillId="0" borderId="0" xfId="0" applyNumberFormat="1" applyFont="1"/>
    <xf numFmtId="0" fontId="1" fillId="0" borderId="0" xfId="0" applyFont="1"/>
    <xf numFmtId="2" fontId="1" fillId="0" borderId="0" xfId="0" applyNumberFormat="1" applyFont="1" applyAlignment="1">
      <alignment horizontal="left" indent="2"/>
    </xf>
    <xf numFmtId="0" fontId="1" fillId="0" borderId="0" xfId="0" applyFont="1" applyAlignment="1">
      <alignment horizontal="left" indent="2"/>
    </xf>
    <xf numFmtId="2" fontId="1" fillId="0" borderId="0" xfId="4" applyNumberFormat="1" applyFont="1" applyAlignment="1">
      <alignment horizontal="left"/>
    </xf>
    <xf numFmtId="0" fontId="27" fillId="0" borderId="0" xfId="0" applyFont="1"/>
    <xf numFmtId="0" fontId="12" fillId="0" borderId="0" xfId="0" applyFont="1"/>
    <xf numFmtId="0" fontId="29" fillId="0" borderId="0" xfId="0" applyFont="1"/>
    <xf numFmtId="49" fontId="12" fillId="0" borderId="0" xfId="6" applyNumberFormat="1" applyFont="1" applyFill="1" applyAlignment="1">
      <alignment horizontal="left"/>
    </xf>
    <xf numFmtId="0" fontId="0" fillId="0" borderId="4" xfId="6" applyFont="1" applyFill="1" applyBorder="1" applyAlignment="1">
      <alignment horizontal="left"/>
    </xf>
    <xf numFmtId="0" fontId="3" fillId="0" borderId="0" xfId="0" applyFont="1"/>
    <xf numFmtId="3" fontId="12" fillId="2" borderId="0" xfId="1" applyNumberFormat="1" applyFont="1" applyFill="1"/>
    <xf numFmtId="3" fontId="12" fillId="2" borderId="2" xfId="0" applyNumberFormat="1" applyFont="1" applyFill="1" applyBorder="1"/>
    <xf numFmtId="3" fontId="12" fillId="2" borderId="0" xfId="0" applyNumberFormat="1" applyFont="1" applyFill="1"/>
    <xf numFmtId="3" fontId="12" fillId="2" borderId="3" xfId="0" applyNumberFormat="1" applyFont="1" applyFill="1" applyBorder="1"/>
    <xf numFmtId="0" fontId="12" fillId="2" borderId="0" xfId="0" applyFont="1" applyFill="1"/>
    <xf numFmtId="4" fontId="12" fillId="2" borderId="0" xfId="5" applyNumberFormat="1" applyFont="1" applyFill="1"/>
    <xf numFmtId="3" fontId="12" fillId="0" borderId="5" xfId="1" applyNumberFormat="1" applyFont="1" applyBorder="1"/>
    <xf numFmtId="3" fontId="12" fillId="0" borderId="3" xfId="1" applyNumberFormat="1" applyFont="1" applyBorder="1"/>
    <xf numFmtId="1" fontId="12" fillId="0" borderId="0" xfId="0" applyNumberFormat="1" applyFont="1"/>
    <xf numFmtId="3" fontId="12" fillId="0" borderId="2" xfId="1" applyNumberFormat="1" applyFont="1" applyBorder="1"/>
    <xf numFmtId="3" fontId="27" fillId="0" borderId="0" xfId="1" applyNumberFormat="1" applyFont="1"/>
    <xf numFmtId="3" fontId="12" fillId="0" borderId="0" xfId="1" applyNumberFormat="1" applyFont="1"/>
    <xf numFmtId="3" fontId="1" fillId="2" borderId="0" xfId="1" applyNumberFormat="1" applyFont="1" applyFill="1"/>
    <xf numFmtId="0" fontId="0" fillId="0" borderId="0" xfId="7" applyFont="1"/>
    <xf numFmtId="49" fontId="27" fillId="0" borderId="0" xfId="6" applyNumberFormat="1" applyFont="1" applyFill="1" applyAlignment="1">
      <alignment horizontal="left"/>
    </xf>
    <xf numFmtId="0" fontId="32" fillId="0" borderId="0" xfId="0" applyFont="1"/>
    <xf numFmtId="0" fontId="33" fillId="0" borderId="0" xfId="0" applyFont="1"/>
    <xf numFmtId="15" fontId="34" fillId="0" borderId="0" xfId="0" applyNumberFormat="1" applyFont="1" applyAlignment="1">
      <alignment horizontal="center"/>
    </xf>
    <xf numFmtId="0" fontId="34" fillId="0" borderId="0" xfId="0" applyFont="1"/>
    <xf numFmtId="15" fontId="33" fillId="0" borderId="0" xfId="0" applyNumberFormat="1" applyFont="1" applyAlignment="1">
      <alignment horizontal="center"/>
    </xf>
    <xf numFmtId="15" fontId="35" fillId="0" borderId="0" xfId="0" applyNumberFormat="1" applyFont="1" applyAlignment="1">
      <alignment horizontal="center"/>
    </xf>
    <xf numFmtId="0" fontId="35" fillId="0" borderId="0" xfId="0" applyFont="1"/>
    <xf numFmtId="0" fontId="36" fillId="0" borderId="0" xfId="0" applyFont="1" applyAlignment="1">
      <alignment horizontal="left" indent="4"/>
    </xf>
    <xf numFmtId="0" fontId="31" fillId="0" borderId="0" xfId="0" applyFont="1"/>
    <xf numFmtId="0" fontId="37" fillId="0" borderId="0" xfId="0" applyFont="1" applyAlignment="1">
      <alignment horizontal="center"/>
    </xf>
    <xf numFmtId="0" fontId="6" fillId="0" borderId="0" xfId="0" applyFont="1" applyAlignment="1">
      <alignment horizontal="center" vertical="top" wrapText="1"/>
    </xf>
    <xf numFmtId="0" fontId="11" fillId="0" borderId="11" xfId="0" applyFont="1" applyBorder="1" applyAlignment="1">
      <alignment horizontal="center" vertical="top" wrapText="1"/>
    </xf>
    <xf numFmtId="0" fontId="6" fillId="2" borderId="0" xfId="0" applyFont="1" applyFill="1" applyAlignment="1">
      <alignment horizontal="center" vertical="top" wrapText="1"/>
    </xf>
    <xf numFmtId="0" fontId="11" fillId="0" borderId="10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34" fillId="0" borderId="0" xfId="0" applyFont="1" applyAlignment="1">
      <alignment horizontal="left"/>
    </xf>
    <xf numFmtId="49" fontId="3" fillId="0" borderId="0" xfId="6" applyNumberFormat="1" applyFont="1" applyFill="1" applyAlignment="1">
      <alignment horizontal="left" indent="3"/>
    </xf>
    <xf numFmtId="49" fontId="6" fillId="0" borderId="0" xfId="6" applyNumberFormat="1" applyFont="1" applyFill="1" applyAlignment="1">
      <alignment horizontal="left" indent="1"/>
    </xf>
    <xf numFmtId="49" fontId="0" fillId="0" borderId="0" xfId="6" applyNumberFormat="1" applyFont="1" applyFill="1" applyAlignment="1">
      <alignment horizontal="left" indent="3"/>
    </xf>
    <xf numFmtId="49" fontId="10" fillId="0" borderId="0" xfId="6" applyNumberFormat="1" applyFont="1" applyFill="1" applyAlignment="1">
      <alignment horizontal="left" indent="3"/>
    </xf>
    <xf numFmtId="0" fontId="31" fillId="0" borderId="0" xfId="0" applyFont="1" applyAlignment="1">
      <alignment horizontal="center"/>
    </xf>
    <xf numFmtId="0" fontId="12" fillId="0" borderId="0" xfId="0" applyFont="1" applyAlignment="1">
      <alignment wrapText="1"/>
    </xf>
    <xf numFmtId="0" fontId="13" fillId="0" borderId="0" xfId="7" applyAlignment="1">
      <alignment horizontal="right"/>
    </xf>
    <xf numFmtId="0" fontId="19" fillId="0" borderId="0" xfId="7" applyFont="1" applyAlignment="1">
      <alignment horizontal="center"/>
    </xf>
    <xf numFmtId="0" fontId="6" fillId="0" borderId="0" xfId="7" applyFont="1" applyAlignment="1">
      <alignment horizontal="right"/>
    </xf>
    <xf numFmtId="2" fontId="40" fillId="0" borderId="0" xfId="0" applyNumberFormat="1" applyFont="1" applyAlignment="1">
      <alignment horizontal="left"/>
    </xf>
    <xf numFmtId="164" fontId="0" fillId="0" borderId="0" xfId="1" applyNumberFormat="1" applyFont="1"/>
    <xf numFmtId="164" fontId="12" fillId="2" borderId="0" xfId="0" applyNumberFormat="1" applyFont="1" applyFill="1"/>
    <xf numFmtId="165" fontId="10" fillId="0" borderId="7" xfId="2" applyNumberFormat="1" applyFont="1" applyBorder="1" applyAlignment="1">
      <alignment horizontal="center"/>
    </xf>
    <xf numFmtId="165" fontId="10" fillId="0" borderId="0" xfId="2" applyNumberFormat="1" applyFont="1" applyAlignment="1">
      <alignment horizontal="center"/>
    </xf>
    <xf numFmtId="165" fontId="11" fillId="0" borderId="12" xfId="0" applyNumberFormat="1" applyFont="1" applyBorder="1" applyAlignment="1">
      <alignment horizontal="center"/>
    </xf>
    <xf numFmtId="166" fontId="0" fillId="0" borderId="0" xfId="0" applyNumberFormat="1"/>
    <xf numFmtId="165" fontId="10" fillId="0" borderId="8" xfId="2" applyNumberFormat="1" applyFont="1" applyBorder="1" applyAlignment="1">
      <alignment horizontal="center"/>
    </xf>
    <xf numFmtId="165" fontId="10" fillId="0" borderId="9" xfId="2" applyNumberFormat="1" applyFont="1" applyBorder="1" applyAlignment="1">
      <alignment horizontal="center"/>
    </xf>
    <xf numFmtId="165" fontId="11" fillId="0" borderId="13" xfId="0" applyNumberFormat="1" applyFont="1" applyBorder="1" applyAlignment="1">
      <alignment horizontal="center"/>
    </xf>
    <xf numFmtId="164" fontId="0" fillId="0" borderId="0" xfId="0" applyNumberFormat="1"/>
    <xf numFmtId="167" fontId="39" fillId="0" borderId="0" xfId="4" applyNumberFormat="1" applyFont="1"/>
    <xf numFmtId="165" fontId="14" fillId="4" borderId="15" xfId="8" applyNumberFormat="1" applyFont="1" applyFill="1" applyBorder="1"/>
    <xf numFmtId="165" fontId="13" fillId="0" borderId="0" xfId="7" applyNumberFormat="1"/>
    <xf numFmtId="165" fontId="13" fillId="0" borderId="0" xfId="8" applyNumberFormat="1"/>
    <xf numFmtId="165" fontId="0" fillId="0" borderId="0" xfId="8" applyNumberFormat="1" applyFont="1"/>
    <xf numFmtId="8" fontId="14" fillId="4" borderId="15" xfId="7" applyNumberFormat="1" applyFont="1" applyFill="1" applyBorder="1"/>
    <xf numFmtId="8" fontId="6" fillId="0" borderId="0" xfId="7" applyNumberFormat="1" applyFont="1"/>
    <xf numFmtId="8" fontId="13" fillId="0" borderId="0" xfId="7" applyNumberFormat="1"/>
    <xf numFmtId="2" fontId="41" fillId="0" borderId="0" xfId="7" applyNumberFormat="1" applyFont="1"/>
    <xf numFmtId="6" fontId="13" fillId="0" borderId="0" xfId="7" applyNumberFormat="1"/>
    <xf numFmtId="6" fontId="20" fillId="8" borderId="0" xfId="7" applyNumberFormat="1" applyFont="1" applyFill="1"/>
    <xf numFmtId="6" fontId="20" fillId="8" borderId="30" xfId="7" applyNumberFormat="1" applyFont="1" applyFill="1" applyBorder="1"/>
    <xf numFmtId="164" fontId="20" fillId="8" borderId="21" xfId="9" applyNumberFormat="1" applyFont="1" applyFill="1" applyBorder="1"/>
    <xf numFmtId="164" fontId="20" fillId="8" borderId="33" xfId="9" applyNumberFormat="1" applyFont="1" applyFill="1" applyBorder="1"/>
    <xf numFmtId="6" fontId="13" fillId="0" borderId="21" xfId="7" applyNumberFormat="1" applyBorder="1"/>
    <xf numFmtId="164" fontId="20" fillId="8" borderId="0" xfId="9" applyNumberFormat="1" applyFont="1" applyFill="1"/>
    <xf numFmtId="6" fontId="22" fillId="8" borderId="36" xfId="7" applyNumberFormat="1" applyFont="1" applyFill="1" applyBorder="1"/>
    <xf numFmtId="6" fontId="22" fillId="8" borderId="37" xfId="7" applyNumberFormat="1" applyFont="1" applyFill="1" applyBorder="1"/>
    <xf numFmtId="6" fontId="6" fillId="0" borderId="36" xfId="7" applyNumberFormat="1" applyFont="1" applyBorder="1"/>
    <xf numFmtId="164" fontId="0" fillId="0" borderId="38" xfId="9" applyNumberFormat="1" applyFont="1" applyBorder="1"/>
    <xf numFmtId="164" fontId="20" fillId="8" borderId="38" xfId="9" applyNumberFormat="1" applyFont="1" applyFill="1" applyBorder="1"/>
    <xf numFmtId="164" fontId="20" fillId="8" borderId="39" xfId="9" applyNumberFormat="1" applyFont="1" applyFill="1" applyBorder="1"/>
    <xf numFmtId="164" fontId="0" fillId="0" borderId="21" xfId="9" applyNumberFormat="1" applyFont="1" applyBorder="1"/>
    <xf numFmtId="164" fontId="20" fillId="8" borderId="30" xfId="9" applyNumberFormat="1" applyFont="1" applyFill="1" applyBorder="1"/>
    <xf numFmtId="164" fontId="0" fillId="0" borderId="0" xfId="9" applyNumberFormat="1" applyFont="1"/>
    <xf numFmtId="6" fontId="22" fillId="8" borderId="31" xfId="7" applyNumberFormat="1" applyFont="1" applyFill="1" applyBorder="1"/>
    <xf numFmtId="6" fontId="22" fillId="8" borderId="32" xfId="7" applyNumberFormat="1" applyFont="1" applyFill="1" applyBorder="1"/>
    <xf numFmtId="6" fontId="6" fillId="0" borderId="31" xfId="7" applyNumberFormat="1" applyFont="1" applyBorder="1"/>
    <xf numFmtId="6" fontId="6" fillId="0" borderId="0" xfId="7" applyNumberFormat="1" applyFont="1"/>
    <xf numFmtId="164" fontId="6" fillId="0" borderId="0" xfId="9" applyNumberFormat="1" applyFont="1"/>
    <xf numFmtId="6" fontId="6" fillId="0" borderId="2" xfId="7" applyNumberFormat="1" applyFont="1" applyBorder="1"/>
    <xf numFmtId="164" fontId="6" fillId="0" borderId="2" xfId="7" applyNumberFormat="1" applyFont="1" applyBorder="1"/>
    <xf numFmtId="8" fontId="6" fillId="0" borderId="29" xfId="7" applyNumberFormat="1" applyFont="1" applyBorder="1"/>
    <xf numFmtId="165" fontId="21" fillId="0" borderId="21" xfId="8" applyNumberFormat="1" applyFont="1" applyBorder="1"/>
    <xf numFmtId="0" fontId="31" fillId="0" borderId="0" xfId="0" applyFont="1" applyAlignment="1">
      <alignment horizontal="center"/>
    </xf>
    <xf numFmtId="0" fontId="0" fillId="0" borderId="0" xfId="0"/>
    <xf numFmtId="0" fontId="28" fillId="0" borderId="0" xfId="0" applyFont="1"/>
    <xf numFmtId="0" fontId="11" fillId="0" borderId="9" xfId="0" applyFont="1" applyBorder="1" applyAlignment="1">
      <alignment horizontal="center"/>
    </xf>
    <xf numFmtId="0" fontId="0" fillId="0" borderId="9" xfId="0" applyBorder="1"/>
    <xf numFmtId="49" fontId="12" fillId="0" borderId="0" xfId="6" applyNumberFormat="1" applyFont="1" applyFill="1" applyAlignment="1">
      <alignment horizontal="left" wrapText="1"/>
    </xf>
    <xf numFmtId="0" fontId="27" fillId="0" borderId="0" xfId="0" applyFont="1" applyAlignment="1">
      <alignment horizontal="left" vertical="top" wrapText="1"/>
    </xf>
    <xf numFmtId="0" fontId="27" fillId="0" borderId="0" xfId="0" applyFont="1" applyAlignment="1">
      <alignment wrapText="1"/>
    </xf>
    <xf numFmtId="0" fontId="12" fillId="0" borderId="0" xfId="0" applyFont="1" applyAlignment="1">
      <alignment horizontal="left" vertical="top" wrapText="1"/>
    </xf>
    <xf numFmtId="0" fontId="13" fillId="0" borderId="28" xfId="7" applyBorder="1" applyAlignment="1">
      <alignment horizontal="right"/>
    </xf>
    <xf numFmtId="0" fontId="0" fillId="0" borderId="28" xfId="0" applyBorder="1"/>
    <xf numFmtId="0" fontId="15" fillId="0" borderId="0" xfId="7" applyFont="1" applyAlignment="1">
      <alignment horizontal="center"/>
    </xf>
    <xf numFmtId="0" fontId="13" fillId="0" borderId="0" xfId="7"/>
    <xf numFmtId="0" fontId="13" fillId="0" borderId="0" xfId="7" applyAlignment="1">
      <alignment horizontal="right"/>
    </xf>
    <xf numFmtId="0" fontId="6" fillId="0" borderId="26" xfId="7" applyFont="1" applyBorder="1" applyAlignment="1">
      <alignment horizontal="center"/>
    </xf>
    <xf numFmtId="0" fontId="0" fillId="0" borderId="1" xfId="0" applyBorder="1"/>
    <xf numFmtId="0" fontId="0" fillId="0" borderId="26" xfId="0" applyBorder="1"/>
    <xf numFmtId="0" fontId="19" fillId="0" borderId="0" xfId="7" applyFont="1" applyAlignment="1">
      <alignment horizontal="center"/>
    </xf>
    <xf numFmtId="0" fontId="6" fillId="0" borderId="0" xfId="7" applyFont="1" applyAlignment="1">
      <alignment horizontal="right"/>
    </xf>
    <xf numFmtId="0" fontId="25" fillId="9" borderId="28" xfId="7" applyFont="1" applyFill="1" applyBorder="1" applyAlignment="1">
      <alignment horizontal="center"/>
    </xf>
    <xf numFmtId="0" fontId="6" fillId="0" borderId="30" xfId="7" applyFont="1" applyBorder="1" applyAlignment="1">
      <alignment horizontal="right"/>
    </xf>
    <xf numFmtId="0" fontId="0" fillId="0" borderId="30" xfId="0" applyBorder="1"/>
    <xf numFmtId="0" fontId="6" fillId="0" borderId="0" xfId="7" quotePrefix="1" applyFont="1" applyAlignment="1">
      <alignment horizontal="right"/>
    </xf>
    <xf numFmtId="0" fontId="25" fillId="5" borderId="15" xfId="7" applyFont="1" applyFill="1" applyBorder="1" applyAlignment="1">
      <alignment horizontal="center"/>
    </xf>
    <xf numFmtId="0" fontId="0" fillId="0" borderId="41" xfId="0" applyBorder="1"/>
    <xf numFmtId="0" fontId="0" fillId="0" borderId="40" xfId="0" applyBorder="1"/>
  </cellXfs>
  <cellStyles count="10">
    <cellStyle name="Background" xfId="6"/>
    <cellStyle name="Comma" xfId="1" builtinId="3"/>
    <cellStyle name="Comma 2" xfId="9"/>
    <cellStyle name="Currency" xfId="5" builtinId="4"/>
    <cellStyle name="Normal" xfId="0" builtinId="0"/>
    <cellStyle name="Normal 2" xfId="3"/>
    <cellStyle name="Normal 3" xfId="4"/>
    <cellStyle name="Normal 4" xfId="7"/>
    <cellStyle name="Percent" xfId="2" builtinId="5"/>
    <cellStyle name="Percent 2" xfId="8"/>
  </cellStyles>
  <dxfs count="1">
    <dxf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22227</xdr:colOff>
      <xdr:row>0</xdr:row>
      <xdr:rowOff>1177707</xdr:rowOff>
    </xdr:to>
    <xdr:grpSp>
      <xdr:nvGrpSpPr>
        <xdr:cNvPr id="9" name="Group 8"/>
        <xdr:cNvGrpSpPr/>
      </xdr:nvGrpSpPr>
      <xdr:grpSpPr>
        <a:xfrm>
          <a:off x="0" y="0"/>
          <a:ext cx="9102727" cy="1177707"/>
          <a:chOff x="82548" y="28575"/>
          <a:chExt cx="8632827" cy="1177707"/>
        </a:xfrm>
      </xdr:grpSpPr>
      <xdr:pic>
        <xdr:nvPicPr>
          <xdr:cNvPr id="10" name="Picture 9" descr="Logo, company name&#10;&#10;Description automatically generated"/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82548" y="28575"/>
            <a:ext cx="1089025" cy="1177707"/>
          </a:xfrm>
          <a:prstGeom prst="rect">
            <a:avLst/>
          </a:prstGeom>
          <a:ln>
            <a:prstDash val="solid"/>
          </a:ln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4</xdr:row>
          <xdr:rowOff>38100</xdr:rowOff>
        </xdr:from>
        <xdr:to>
          <xdr:col>2</xdr:col>
          <xdr:colOff>1981200</xdr:colOff>
          <xdr:row>5</xdr:row>
          <xdr:rowOff>91440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Income Statement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83820</xdr:colOff>
          <xdr:row>8</xdr:row>
          <xdr:rowOff>53340</xdr:rowOff>
        </xdr:from>
        <xdr:to>
          <xdr:col>2</xdr:col>
          <xdr:colOff>1973580</xdr:colOff>
          <xdr:row>10</xdr:row>
          <xdr:rowOff>22860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Cashflow Statement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83820</xdr:colOff>
          <xdr:row>8</xdr:row>
          <xdr:rowOff>22860</xdr:rowOff>
        </xdr:from>
        <xdr:to>
          <xdr:col>9</xdr:col>
          <xdr:colOff>137160</xdr:colOff>
          <xdr:row>10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DCF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6</xdr:row>
          <xdr:rowOff>38100</xdr:rowOff>
        </xdr:from>
        <xdr:to>
          <xdr:col>2</xdr:col>
          <xdr:colOff>1981200</xdr:colOff>
          <xdr:row>8</xdr:row>
          <xdr:rowOff>7620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Balance Sheet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4</xdr:row>
          <xdr:rowOff>15240</xdr:rowOff>
        </xdr:from>
        <xdr:to>
          <xdr:col>9</xdr:col>
          <xdr:colOff>129540</xdr:colOff>
          <xdr:row>5</xdr:row>
          <xdr:rowOff>76200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DDM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83820</xdr:colOff>
          <xdr:row>6</xdr:row>
          <xdr:rowOff>15240</xdr:rowOff>
        </xdr:from>
        <xdr:to>
          <xdr:col>9</xdr:col>
          <xdr:colOff>137160</xdr:colOff>
          <xdr:row>7</xdr:row>
          <xdr:rowOff>76200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Calculating WACC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365760</xdr:colOff>
          <xdr:row>2</xdr:row>
          <xdr:rowOff>76200</xdr:rowOff>
        </xdr:from>
        <xdr:to>
          <xdr:col>11</xdr:col>
          <xdr:colOff>373380</xdr:colOff>
          <xdr:row>2</xdr:row>
          <xdr:rowOff>259080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 to Outline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358140</xdr:colOff>
          <xdr:row>2</xdr:row>
          <xdr:rowOff>320040</xdr:rowOff>
        </xdr:from>
        <xdr:to>
          <xdr:col>11</xdr:col>
          <xdr:colOff>365760</xdr:colOff>
          <xdr:row>3</xdr:row>
          <xdr:rowOff>38100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Balance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358140</xdr:colOff>
          <xdr:row>4</xdr:row>
          <xdr:rowOff>15240</xdr:rowOff>
        </xdr:from>
        <xdr:to>
          <xdr:col>11</xdr:col>
          <xdr:colOff>365760</xdr:colOff>
          <xdr:row>6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Cash Flow Statement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129540</xdr:colOff>
          <xdr:row>2</xdr:row>
          <xdr:rowOff>76200</xdr:rowOff>
        </xdr:from>
        <xdr:to>
          <xdr:col>13</xdr:col>
          <xdr:colOff>83820</xdr:colOff>
          <xdr:row>2</xdr:row>
          <xdr:rowOff>259080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 to Outline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129540</xdr:colOff>
          <xdr:row>2</xdr:row>
          <xdr:rowOff>335280</xdr:rowOff>
        </xdr:from>
        <xdr:to>
          <xdr:col>13</xdr:col>
          <xdr:colOff>83820</xdr:colOff>
          <xdr:row>3</xdr:row>
          <xdr:rowOff>91440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Income Statement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137160</xdr:colOff>
          <xdr:row>4</xdr:row>
          <xdr:rowOff>76200</xdr:rowOff>
        </xdr:from>
        <xdr:to>
          <xdr:col>13</xdr:col>
          <xdr:colOff>91440</xdr:colOff>
          <xdr:row>6</xdr:row>
          <xdr:rowOff>53340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Cash Flow Statement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365760</xdr:colOff>
          <xdr:row>2</xdr:row>
          <xdr:rowOff>60960</xdr:rowOff>
        </xdr:from>
        <xdr:to>
          <xdr:col>13</xdr:col>
          <xdr:colOff>60960</xdr:colOff>
          <xdr:row>2</xdr:row>
          <xdr:rowOff>243840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 to Outline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373380</xdr:colOff>
          <xdr:row>2</xdr:row>
          <xdr:rowOff>335280</xdr:rowOff>
        </xdr:from>
        <xdr:to>
          <xdr:col>13</xdr:col>
          <xdr:colOff>68580</xdr:colOff>
          <xdr:row>3</xdr:row>
          <xdr:rowOff>91440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Income Statement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365760</xdr:colOff>
          <xdr:row>4</xdr:row>
          <xdr:rowOff>91440</xdr:rowOff>
        </xdr:from>
        <xdr:to>
          <xdr:col>13</xdr:col>
          <xdr:colOff>60960</xdr:colOff>
          <xdr:row>6</xdr:row>
          <xdr:rowOff>76200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Balance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53340</xdr:colOff>
          <xdr:row>1</xdr:row>
          <xdr:rowOff>53340</xdr:rowOff>
        </xdr:from>
        <xdr:to>
          <xdr:col>15</xdr:col>
          <xdr:colOff>129540</xdr:colOff>
          <xdr:row>3</xdr:row>
          <xdr:rowOff>22860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 to Outline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304800</xdr:colOff>
          <xdr:row>2</xdr:row>
          <xdr:rowOff>53340</xdr:rowOff>
        </xdr:from>
        <xdr:to>
          <xdr:col>10</xdr:col>
          <xdr:colOff>205740</xdr:colOff>
          <xdr:row>4</xdr:row>
          <xdr:rowOff>38100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 to Outline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281940</xdr:colOff>
          <xdr:row>2</xdr:row>
          <xdr:rowOff>38100</xdr:rowOff>
        </xdr:from>
        <xdr:to>
          <xdr:col>12</xdr:col>
          <xdr:colOff>548640</xdr:colOff>
          <xdr:row>3</xdr:row>
          <xdr:rowOff>114300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 to Outline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274320</xdr:colOff>
          <xdr:row>4</xdr:row>
          <xdr:rowOff>60960</xdr:rowOff>
        </xdr:from>
        <xdr:to>
          <xdr:col>12</xdr:col>
          <xdr:colOff>563880</xdr:colOff>
          <xdr:row>6</xdr:row>
          <xdr:rowOff>22860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Income Statement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274320</xdr:colOff>
          <xdr:row>7</xdr:row>
          <xdr:rowOff>0</xdr:rowOff>
        </xdr:from>
        <xdr:to>
          <xdr:col>12</xdr:col>
          <xdr:colOff>563880</xdr:colOff>
          <xdr:row>8</xdr:row>
          <xdr:rowOff>83820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Balance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266700</xdr:colOff>
          <xdr:row>9</xdr:row>
          <xdr:rowOff>60960</xdr:rowOff>
        </xdr:from>
        <xdr:to>
          <xdr:col>12</xdr:col>
          <xdr:colOff>556260</xdr:colOff>
          <xdr:row>11</xdr:row>
          <xdr:rowOff>30480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Cash Flow Statement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5"/>
  <sheetViews>
    <sheetView workbookViewId="0"/>
  </sheetViews>
  <sheetFormatPr defaultColWidth="8.77734375" defaultRowHeight="13.2" x14ac:dyDescent="0.25"/>
  <sheetData>
    <row r="1" spans="1:2" x14ac:dyDescent="0.25">
      <c r="B1" t="s">
        <v>0</v>
      </c>
    </row>
    <row r="2" spans="1:2" x14ac:dyDescent="0.25"/>
    <row r="3" spans="1:2" x14ac:dyDescent="0.25"/>
    <row r="4" spans="1:2" x14ac:dyDescent="0.25"/>
    <row r="5" spans="1:2" x14ac:dyDescent="0.25"/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J23"/>
  <sheetViews>
    <sheetView showGridLines="0" showRowColHeaders="0" zoomScaleNormal="100" workbookViewId="0"/>
  </sheetViews>
  <sheetFormatPr defaultColWidth="8.77734375" defaultRowHeight="13.2" x14ac:dyDescent="0.25"/>
  <cols>
    <col min="2" max="2" width="4.77734375" customWidth="1"/>
    <col min="3" max="3" width="54" customWidth="1"/>
    <col min="4" max="4" width="7.33203125" customWidth="1"/>
  </cols>
  <sheetData>
    <row r="1" spans="1:10" ht="97.2" customHeight="1" x14ac:dyDescent="0.25"/>
    <row r="2" spans="1:10" ht="12.75" customHeight="1" x14ac:dyDescent="0.25">
      <c r="A2" s="201"/>
      <c r="B2" s="202"/>
      <c r="C2" s="202"/>
      <c r="D2" s="202"/>
      <c r="E2" s="202"/>
      <c r="F2" s="202"/>
      <c r="G2" s="202"/>
      <c r="H2" s="202"/>
      <c r="I2" s="202"/>
      <c r="J2" s="202"/>
    </row>
    <row r="3" spans="1:10" ht="16.05" customHeight="1" x14ac:dyDescent="0.3">
      <c r="A3" s="131"/>
      <c r="B3" s="132"/>
      <c r="C3" s="151"/>
      <c r="D3" s="151"/>
      <c r="E3" s="151"/>
      <c r="F3" s="151"/>
      <c r="G3" s="151"/>
      <c r="H3" s="151"/>
      <c r="I3" s="131"/>
      <c r="J3" s="131"/>
    </row>
    <row r="4" spans="1:10" ht="18" customHeight="1" x14ac:dyDescent="0.3">
      <c r="A4" s="131"/>
      <c r="B4" s="133" t="s">
        <v>1</v>
      </c>
      <c r="C4" s="146" t="s">
        <v>2</v>
      </c>
      <c r="D4" s="133" t="s">
        <v>3</v>
      </c>
      <c r="E4" s="134" t="s">
        <v>4</v>
      </c>
      <c r="F4" s="131"/>
      <c r="G4" s="131"/>
      <c r="H4" s="131"/>
      <c r="I4" s="131"/>
      <c r="J4" s="131"/>
    </row>
    <row r="5" spans="1:10" ht="13.05" customHeight="1" x14ac:dyDescent="0.25">
      <c r="A5" s="131"/>
      <c r="B5" s="131"/>
      <c r="C5" s="131"/>
      <c r="D5" s="131"/>
      <c r="E5" s="131"/>
      <c r="F5" s="131"/>
      <c r="G5" s="131"/>
      <c r="H5" s="131"/>
      <c r="I5" s="131"/>
      <c r="J5" s="131"/>
    </row>
    <row r="6" spans="1:10" ht="13.05" customHeight="1" x14ac:dyDescent="0.25">
      <c r="A6" s="131"/>
      <c r="B6" s="131"/>
      <c r="C6" s="131"/>
      <c r="D6" s="131"/>
      <c r="E6" s="131"/>
      <c r="F6" s="131"/>
      <c r="G6" s="131"/>
      <c r="H6" s="131"/>
      <c r="I6" s="131"/>
      <c r="J6" s="131"/>
    </row>
    <row r="7" spans="1:10" ht="13.05" customHeight="1" x14ac:dyDescent="0.25">
      <c r="A7" s="131"/>
      <c r="B7" s="131"/>
      <c r="C7" s="131"/>
      <c r="D7" s="131"/>
      <c r="E7" s="131"/>
      <c r="F7" s="131"/>
      <c r="G7" s="131"/>
      <c r="H7" s="131"/>
      <c r="I7" s="131"/>
      <c r="J7" s="131"/>
    </row>
    <row r="8" spans="1:10" ht="13.05" customHeight="1" x14ac:dyDescent="0.25">
      <c r="A8" s="131"/>
      <c r="B8" s="131"/>
      <c r="C8" s="131"/>
      <c r="D8" s="131"/>
      <c r="E8" s="131"/>
      <c r="F8" s="131"/>
      <c r="G8" s="131"/>
      <c r="H8" s="131"/>
      <c r="I8" s="131"/>
      <c r="J8" s="131"/>
    </row>
    <row r="9" spans="1:10" ht="13.05" customHeight="1" x14ac:dyDescent="0.25">
      <c r="A9" s="131"/>
      <c r="B9" s="131"/>
      <c r="C9" s="131"/>
      <c r="D9" s="131"/>
      <c r="E9" s="131"/>
      <c r="F9" s="131"/>
      <c r="G9" s="131"/>
      <c r="H9" s="131"/>
      <c r="I9" s="131"/>
      <c r="J9" s="131"/>
    </row>
    <row r="10" spans="1:10" ht="13.05" customHeight="1" x14ac:dyDescent="0.3">
      <c r="A10" s="131"/>
      <c r="B10" s="131"/>
      <c r="C10" s="131"/>
      <c r="D10" s="135"/>
      <c r="E10" s="131"/>
      <c r="F10" s="131"/>
      <c r="G10" s="131"/>
      <c r="H10" s="131"/>
      <c r="I10" s="131"/>
      <c r="J10" s="131"/>
    </row>
    <row r="11" spans="1:10" ht="13.05" customHeight="1" x14ac:dyDescent="0.3">
      <c r="A11" s="131"/>
      <c r="B11" s="131"/>
      <c r="C11" s="131"/>
      <c r="D11" s="136"/>
      <c r="E11" s="137"/>
      <c r="F11" s="131"/>
      <c r="G11" s="131"/>
      <c r="H11" s="131"/>
      <c r="I11" s="131"/>
      <c r="J11" s="131"/>
    </row>
    <row r="12" spans="1:10" x14ac:dyDescent="0.25">
      <c r="A12" s="131"/>
      <c r="B12" s="131"/>
      <c r="C12" s="131"/>
      <c r="D12" s="131"/>
      <c r="E12" s="131"/>
      <c r="F12" s="131"/>
      <c r="G12" s="131"/>
      <c r="H12" s="131"/>
      <c r="I12" s="131"/>
      <c r="J12" s="131"/>
    </row>
    <row r="14" spans="1:10" ht="16.05" customHeight="1" x14ac:dyDescent="0.3">
      <c r="C14" s="137"/>
    </row>
    <row r="17" spans="1:10" x14ac:dyDescent="0.25">
      <c r="C17" s="138"/>
    </row>
    <row r="18" spans="1:10" x14ac:dyDescent="0.25">
      <c r="C18" s="138"/>
    </row>
    <row r="19" spans="1:10" x14ac:dyDescent="0.25">
      <c r="B19" s="139"/>
      <c r="C19" s="139"/>
      <c r="D19" s="139"/>
      <c r="E19" s="139"/>
      <c r="F19" s="139"/>
    </row>
    <row r="22" spans="1:10" ht="10.5" customHeight="1" x14ac:dyDescent="0.5">
      <c r="A22" s="140"/>
      <c r="B22" s="140"/>
      <c r="C22" s="140"/>
      <c r="D22" s="140"/>
      <c r="E22" s="140"/>
      <c r="F22" s="140"/>
      <c r="G22" s="140"/>
      <c r="H22" s="140"/>
      <c r="I22" s="140"/>
      <c r="J22" s="140"/>
    </row>
    <row r="23" spans="1:10" x14ac:dyDescent="0.25">
      <c r="I23" t="s">
        <v>5</v>
      </c>
    </row>
  </sheetData>
  <mergeCells count="1">
    <mergeCell ref="A2:J2"/>
  </mergeCells>
  <pageMargins left="0.56999999999999995" right="0.54" top="1" bottom="1" header="0.5" footer="0.5"/>
  <pageSetup scale="9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autoFill="0" autoPict="0" macro="[0]!IncomeStatement">
                <anchor moveWithCells="1" sizeWithCells="1">
                  <from>
                    <xdr:col>2</xdr:col>
                    <xdr:colOff>91440</xdr:colOff>
                    <xdr:row>4</xdr:row>
                    <xdr:rowOff>38100</xdr:rowOff>
                  </from>
                  <to>
                    <xdr:col>2</xdr:col>
                    <xdr:colOff>1981200</xdr:colOff>
                    <xdr:row>5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autoFill="0" autoPict="0" macro="[0]!Cashflow">
                <anchor moveWithCells="1" sizeWithCells="1">
                  <from>
                    <xdr:col>2</xdr:col>
                    <xdr:colOff>83820</xdr:colOff>
                    <xdr:row>8</xdr:row>
                    <xdr:rowOff>53340</xdr:rowOff>
                  </from>
                  <to>
                    <xdr:col>2</xdr:col>
                    <xdr:colOff>1973580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autoFill="0" autoPict="0" macro="[0]!DCF">
                <anchor moveWithCells="1" sizeWithCells="1">
                  <from>
                    <xdr:col>4</xdr:col>
                    <xdr:colOff>83820</xdr:colOff>
                    <xdr:row>8</xdr:row>
                    <xdr:rowOff>22860</xdr:rowOff>
                  </from>
                  <to>
                    <xdr:col>9</xdr:col>
                    <xdr:colOff>137160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Button 4">
              <controlPr defaultSize="0" autoFill="0" autoPict="0" macro="[0]!BalanceSheet">
                <anchor moveWithCells="1" sizeWithCells="1">
                  <from>
                    <xdr:col>2</xdr:col>
                    <xdr:colOff>91440</xdr:colOff>
                    <xdr:row>6</xdr:row>
                    <xdr:rowOff>38100</xdr:rowOff>
                  </from>
                  <to>
                    <xdr:col>2</xdr:col>
                    <xdr:colOff>1981200</xdr:colOff>
                    <xdr:row>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8" name="Button 6">
              <controlPr defaultSize="0" autoFill="0" autoPict="0" macro="[0]!DDM">
                <anchor moveWithCells="1" sizeWithCells="1">
                  <from>
                    <xdr:col>4</xdr:col>
                    <xdr:colOff>76200</xdr:colOff>
                    <xdr:row>4</xdr:row>
                    <xdr:rowOff>15240</xdr:rowOff>
                  </from>
                  <to>
                    <xdr:col>9</xdr:col>
                    <xdr:colOff>129540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9" name="Button 7">
              <controlPr defaultSize="0" autoFill="0" autoPict="0" macro="[0]!WACC">
                <anchor moveWithCells="1" sizeWithCells="1">
                  <from>
                    <xdr:col>4</xdr:col>
                    <xdr:colOff>83820</xdr:colOff>
                    <xdr:row>6</xdr:row>
                    <xdr:rowOff>15240</xdr:rowOff>
                  </from>
                  <to>
                    <xdr:col>9</xdr:col>
                    <xdr:colOff>137160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K64"/>
  <sheetViews>
    <sheetView showGridLines="0" workbookViewId="0">
      <selection activeCell="C54" sqref="C54"/>
    </sheetView>
  </sheetViews>
  <sheetFormatPr defaultColWidth="8.77734375" defaultRowHeight="13.2" x14ac:dyDescent="0.25"/>
  <cols>
    <col min="1" max="1" width="36.6640625" customWidth="1"/>
    <col min="2" max="2" width="1.109375" customWidth="1"/>
    <col min="3" max="9" width="10.6640625" customWidth="1"/>
    <col min="10" max="10" width="10.77734375" bestFit="1" customWidth="1"/>
    <col min="12" max="17" width="10.77734375" customWidth="1"/>
  </cols>
  <sheetData>
    <row r="1" spans="1:11" ht="18" customHeight="1" x14ac:dyDescent="0.3">
      <c r="A1" s="156" t="s">
        <v>6</v>
      </c>
      <c r="B1" s="6"/>
    </row>
    <row r="2" spans="1:11" x14ac:dyDescent="0.25">
      <c r="A2" s="7" t="s">
        <v>7</v>
      </c>
      <c r="B2" s="7"/>
    </row>
    <row r="3" spans="1:11" ht="60.75" customHeight="1" x14ac:dyDescent="0.25">
      <c r="C3" s="141" t="s">
        <v>8</v>
      </c>
      <c r="D3" s="141" t="s">
        <v>9</v>
      </c>
      <c r="E3" s="141" t="s">
        <v>10</v>
      </c>
      <c r="F3" s="141" t="s">
        <v>11</v>
      </c>
      <c r="G3" s="141" t="s">
        <v>12</v>
      </c>
      <c r="H3" s="143" t="s">
        <v>13</v>
      </c>
      <c r="I3" s="143" t="s">
        <v>14</v>
      </c>
    </row>
    <row r="4" spans="1:11" x14ac:dyDescent="0.25">
      <c r="C4" s="8">
        <v>4401.8789999999999</v>
      </c>
      <c r="D4" s="8">
        <v>6256.6170000000002</v>
      </c>
      <c r="E4" s="8">
        <v>8110.518</v>
      </c>
      <c r="F4" s="8">
        <v>9619.2780000000002</v>
      </c>
      <c r="G4" s="8">
        <v>10588.126</v>
      </c>
      <c r="H4" s="12">
        <v>11040.29</v>
      </c>
      <c r="I4" s="12">
        <v>11537.65</v>
      </c>
    </row>
    <row r="5" spans="1:11" x14ac:dyDescent="0.25">
      <c r="A5" s="1" t="s">
        <v>15</v>
      </c>
      <c r="B5" s="1"/>
      <c r="C5" s="43">
        <v>1937.8879999999999</v>
      </c>
      <c r="D5" s="43">
        <v>2648.0520000000001</v>
      </c>
      <c r="E5" s="43">
        <v>3618.1779999999999</v>
      </c>
      <c r="F5" s="43">
        <v>4009.873</v>
      </c>
      <c r="G5" s="43">
        <v>4317.3149999999996</v>
      </c>
      <c r="H5" s="128">
        <v>4797.78</v>
      </c>
      <c r="I5" s="128">
        <v>5176.0200000000004</v>
      </c>
    </row>
    <row r="6" spans="1:11" ht="13.95" customHeight="1" thickBot="1" x14ac:dyDescent="0.3">
      <c r="A6" s="2" t="s">
        <v>16</v>
      </c>
      <c r="B6" s="2"/>
      <c r="C6" s="43">
        <v>2463.991</v>
      </c>
      <c r="D6" s="43">
        <v>3608.5650000000001</v>
      </c>
      <c r="E6" s="43">
        <v>4492.34</v>
      </c>
      <c r="F6" s="43">
        <v>5609.4049999999997</v>
      </c>
      <c r="G6" s="43">
        <v>6270.8109999999997</v>
      </c>
      <c r="H6" s="116">
        <v>6242.51</v>
      </c>
      <c r="I6" s="116">
        <v>6361.63</v>
      </c>
    </row>
    <row r="7" spans="1:11" x14ac:dyDescent="0.25">
      <c r="A7" s="1" t="s">
        <v>17</v>
      </c>
      <c r="B7" s="1"/>
      <c r="C7" s="3">
        <v>1609.0029999999999</v>
      </c>
      <c r="D7" s="3">
        <v>2225.0340000000001</v>
      </c>
      <c r="E7" s="3">
        <v>2757.4470000000001</v>
      </c>
      <c r="F7" s="3">
        <v>3397.2179999999998</v>
      </c>
      <c r="G7" s="3">
        <v>3762.3789999999999</v>
      </c>
      <c r="H7" s="117">
        <v>3919.31</v>
      </c>
      <c r="I7" s="117">
        <v>4095.87</v>
      </c>
    </row>
    <row r="8" spans="1:11" x14ac:dyDescent="0.25">
      <c r="A8" s="4" t="s">
        <v>18</v>
      </c>
      <c r="B8" s="4"/>
      <c r="C8" s="43">
        <v>35.002000000000002</v>
      </c>
      <c r="D8" s="43">
        <v>50.176000000000002</v>
      </c>
      <c r="E8" s="43">
        <v>406.48500000000001</v>
      </c>
      <c r="F8" s="43">
        <v>79.510999999999996</v>
      </c>
      <c r="G8" s="43">
        <v>2.7349999999999999</v>
      </c>
      <c r="H8" s="116">
        <v>50</v>
      </c>
      <c r="I8" s="116">
        <v>50</v>
      </c>
    </row>
    <row r="9" spans="1:11" ht="13.95" customHeight="1" thickBot="1" x14ac:dyDescent="0.3">
      <c r="A9" s="4" t="s">
        <v>19</v>
      </c>
      <c r="B9" s="4"/>
      <c r="C9" s="43">
        <v>1005.4640000000001</v>
      </c>
      <c r="D9" s="43">
        <v>1557.5609999999999</v>
      </c>
      <c r="E9" s="43">
        <v>1620.1990000000001</v>
      </c>
      <c r="F9" s="43">
        <v>2512.06</v>
      </c>
      <c r="G9" s="43">
        <v>2952.221</v>
      </c>
      <c r="H9" s="116">
        <v>2693.14</v>
      </c>
      <c r="I9" s="116">
        <v>2603.9</v>
      </c>
    </row>
    <row r="10" spans="1:11" x14ac:dyDescent="0.25">
      <c r="A10" s="1" t="s">
        <v>20</v>
      </c>
      <c r="B10" s="1"/>
      <c r="C10" s="3">
        <v>185.47800000000001</v>
      </c>
      <c r="D10" s="3">
        <v>224.20599999999999</v>
      </c>
      <c r="E10" s="3">
        <v>291.791</v>
      </c>
      <c r="F10" s="3">
        <v>379.38400000000001</v>
      </c>
      <c r="G10" s="3">
        <v>446.524</v>
      </c>
      <c r="H10" s="117">
        <v>501.42</v>
      </c>
      <c r="I10" s="117">
        <v>548.97</v>
      </c>
    </row>
    <row r="11" spans="1:11" ht="13.95" customHeight="1" thickBot="1" x14ac:dyDescent="0.3">
      <c r="A11" s="34" t="s">
        <v>21</v>
      </c>
      <c r="B11" s="34"/>
      <c r="C11" s="43">
        <v>819.98599999999999</v>
      </c>
      <c r="D11" s="43">
        <v>1333.355</v>
      </c>
      <c r="E11" s="43">
        <v>1328.4079999999999</v>
      </c>
      <c r="F11" s="43">
        <v>2132.6759999999999</v>
      </c>
      <c r="G11" s="43">
        <v>2505.6970000000001</v>
      </c>
      <c r="H11" s="116">
        <v>2191.7199999999998</v>
      </c>
      <c r="I11" s="116">
        <v>2054.9299999999998</v>
      </c>
    </row>
    <row r="12" spans="1:11" x14ac:dyDescent="0.25">
      <c r="A12" s="1" t="s">
        <v>22</v>
      </c>
      <c r="B12" s="1"/>
      <c r="C12" s="9">
        <v>-0.63600000000000001</v>
      </c>
      <c r="D12" s="9">
        <v>0.51400000000000001</v>
      </c>
      <c r="E12" s="9">
        <v>401.89600000000002</v>
      </c>
      <c r="F12" s="9">
        <v>117.56</v>
      </c>
      <c r="G12" s="9">
        <v>70.38</v>
      </c>
      <c r="H12" s="117">
        <v>70</v>
      </c>
      <c r="I12" s="117">
        <v>70</v>
      </c>
    </row>
    <row r="13" spans="1:11" x14ac:dyDescent="0.25">
      <c r="A13" s="4" t="s">
        <v>23</v>
      </c>
      <c r="B13" s="4"/>
      <c r="C13" s="10">
        <v>0</v>
      </c>
      <c r="D13" s="10">
        <v>0</v>
      </c>
      <c r="E13" s="10">
        <v>0</v>
      </c>
      <c r="F13" s="10">
        <v>0</v>
      </c>
      <c r="G13" s="10">
        <v>0</v>
      </c>
      <c r="H13" s="118">
        <v>0</v>
      </c>
      <c r="I13" s="118">
        <v>0</v>
      </c>
    </row>
    <row r="14" spans="1:11" x14ac:dyDescent="0.25">
      <c r="A14" s="4" t="s">
        <v>24</v>
      </c>
      <c r="B14" s="4"/>
      <c r="C14" s="43">
        <v>0</v>
      </c>
      <c r="D14" s="43">
        <v>0</v>
      </c>
      <c r="E14" s="43">
        <v>0</v>
      </c>
      <c r="F14" s="43">
        <v>0</v>
      </c>
      <c r="G14" s="43">
        <v>0</v>
      </c>
      <c r="H14" s="116">
        <v>0</v>
      </c>
      <c r="I14" s="116">
        <v>0</v>
      </c>
    </row>
    <row r="15" spans="1:11" ht="13.95" customHeight="1" thickBot="1" x14ac:dyDescent="0.3">
      <c r="A15" s="4" t="s">
        <v>25</v>
      </c>
      <c r="B15" s="4"/>
      <c r="C15" s="43">
        <v>819.35</v>
      </c>
      <c r="D15" s="43">
        <v>1333.8689999999999</v>
      </c>
      <c r="E15" s="43">
        <v>1730.3040000000001</v>
      </c>
      <c r="F15" s="43">
        <v>2250.2359999999999</v>
      </c>
      <c r="G15" s="43">
        <v>2576.0770000000002</v>
      </c>
      <c r="H15" s="116">
        <v>2261.7199999999998</v>
      </c>
      <c r="I15" s="116">
        <v>2124.9299999999998</v>
      </c>
    </row>
    <row r="16" spans="1:11" x14ac:dyDescent="0.25">
      <c r="A16" s="1" t="s">
        <v>26</v>
      </c>
      <c r="B16" s="1"/>
      <c r="C16" s="3">
        <v>230.43700000000001</v>
      </c>
      <c r="D16" s="3">
        <v>358.54700000000003</v>
      </c>
      <c r="E16" s="3">
        <v>875.50400000000002</v>
      </c>
      <c r="F16" s="3">
        <v>700.04600000000005</v>
      </c>
      <c r="G16" s="3">
        <v>761.46100000000001</v>
      </c>
      <c r="H16" s="117">
        <v>707.56</v>
      </c>
      <c r="I16" s="117">
        <v>661.61</v>
      </c>
      <c r="J16" s="10"/>
      <c r="K16" s="10"/>
    </row>
    <row r="17" spans="1:10" x14ac:dyDescent="0.25">
      <c r="A17" s="4" t="s">
        <v>27</v>
      </c>
      <c r="B17" s="4"/>
      <c r="C17" s="43">
        <v>0</v>
      </c>
      <c r="D17" s="43">
        <v>0</v>
      </c>
      <c r="E17" s="43">
        <v>0</v>
      </c>
      <c r="F17" s="43">
        <v>0</v>
      </c>
      <c r="G17" s="43">
        <v>0</v>
      </c>
      <c r="H17" s="116">
        <v>0</v>
      </c>
      <c r="I17" s="116">
        <v>0</v>
      </c>
      <c r="J17" s="10"/>
    </row>
    <row r="18" spans="1:10" ht="13.95" customHeight="1" thickBot="1" x14ac:dyDescent="0.3">
      <c r="A18" s="4" t="s">
        <v>28</v>
      </c>
      <c r="B18" s="4"/>
      <c r="C18" s="43">
        <v>588.91300000000001</v>
      </c>
      <c r="D18" s="43">
        <v>975.322</v>
      </c>
      <c r="E18" s="43">
        <v>854.8</v>
      </c>
      <c r="F18" s="43">
        <v>1550.19</v>
      </c>
      <c r="G18" s="43">
        <v>1814.616</v>
      </c>
      <c r="H18" s="116">
        <v>1554.16</v>
      </c>
      <c r="I18" s="116">
        <v>1463.32</v>
      </c>
    </row>
    <row r="19" spans="1:10" ht="13.95" customHeight="1" thickBot="1" x14ac:dyDescent="0.3">
      <c r="A19" s="1" t="s">
        <v>29</v>
      </c>
      <c r="B19" s="1"/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119">
        <v>0</v>
      </c>
      <c r="I19" s="119">
        <v>0</v>
      </c>
    </row>
    <row r="20" spans="1:10" ht="13.95" customHeight="1" thickTop="1" x14ac:dyDescent="0.25">
      <c r="A20" s="34" t="s">
        <v>30</v>
      </c>
      <c r="B20" s="34"/>
      <c r="C20">
        <v>588.91300000000001</v>
      </c>
      <c r="D20">
        <v>975.322</v>
      </c>
      <c r="E20">
        <v>854.8</v>
      </c>
      <c r="F20">
        <v>1550.19</v>
      </c>
      <c r="G20">
        <v>1814.616</v>
      </c>
      <c r="H20" s="120">
        <v>1554.16</v>
      </c>
      <c r="I20" s="120">
        <v>1463.32</v>
      </c>
    </row>
    <row r="21" spans="1:10" x14ac:dyDescent="0.25">
      <c r="A21" s="1" t="s">
        <v>31</v>
      </c>
      <c r="B21" s="1"/>
      <c r="C21" s="10">
        <v>130.5</v>
      </c>
      <c r="D21" s="10">
        <v>129.5</v>
      </c>
      <c r="E21" s="10">
        <v>127.2</v>
      </c>
      <c r="F21" s="10">
        <v>125.5</v>
      </c>
      <c r="G21" s="10">
        <v>122</v>
      </c>
      <c r="H21" s="118">
        <v>119</v>
      </c>
      <c r="I21" s="118">
        <v>116</v>
      </c>
    </row>
    <row r="22" spans="1:10" x14ac:dyDescent="0.25">
      <c r="C22">
        <v>130.9</v>
      </c>
      <c r="D22">
        <v>130.19999999999999</v>
      </c>
      <c r="E22">
        <v>128</v>
      </c>
      <c r="F22">
        <v>127.1</v>
      </c>
      <c r="G22">
        <v>124</v>
      </c>
      <c r="H22" s="120">
        <v>121</v>
      </c>
      <c r="I22" s="120">
        <v>118</v>
      </c>
    </row>
    <row r="23" spans="1:10" x14ac:dyDescent="0.25">
      <c r="A23" s="11" t="s">
        <v>32</v>
      </c>
      <c r="B23" s="11"/>
      <c r="C23" s="157">
        <v>4.5127432950191571</v>
      </c>
      <c r="D23" s="157">
        <v>7.5314440154440154</v>
      </c>
      <c r="E23" s="157">
        <v>6.7201257861635213</v>
      </c>
      <c r="F23" s="157">
        <v>12.35211155378486</v>
      </c>
      <c r="G23" s="157">
        <v>14.873901639344259</v>
      </c>
      <c r="H23" s="158">
        <v>13.06016806722689</v>
      </c>
      <c r="I23" s="158">
        <v>12.6148275862069</v>
      </c>
    </row>
    <row r="24" spans="1:10" x14ac:dyDescent="0.25">
      <c r="A24" s="11" t="s">
        <v>33</v>
      </c>
      <c r="B24" s="11"/>
      <c r="C24" s="157">
        <v>4.4989533995416346</v>
      </c>
      <c r="D24" s="157">
        <v>7.4909523809523817</v>
      </c>
      <c r="E24" s="157">
        <v>6.6781249999999996</v>
      </c>
      <c r="F24" s="157">
        <v>12.19661683713611</v>
      </c>
      <c r="G24" s="157">
        <v>14.634</v>
      </c>
      <c r="H24" s="158">
        <v>12.84429752066116</v>
      </c>
      <c r="I24" s="158">
        <v>12.40101694915254</v>
      </c>
    </row>
    <row r="25" spans="1:10" x14ac:dyDescent="0.25">
      <c r="H25" s="120"/>
      <c r="I25" s="120"/>
    </row>
    <row r="26" spans="1:10" x14ac:dyDescent="0.25">
      <c r="H26" s="120"/>
      <c r="I26" s="120"/>
    </row>
    <row r="27" spans="1:10" x14ac:dyDescent="0.25">
      <c r="A27" s="11" t="s">
        <v>34</v>
      </c>
      <c r="B27" s="11"/>
      <c r="C27" s="32">
        <v>1.011412742382271</v>
      </c>
      <c r="D27" s="32">
        <v>-0.99056060780476574</v>
      </c>
      <c r="E27" s="32">
        <v>-2.4666896789782529</v>
      </c>
      <c r="F27" s="32">
        <v>-5.0435580009170096E-3</v>
      </c>
      <c r="G27" s="32">
        <v>0.59465326173883237</v>
      </c>
      <c r="H27" s="121">
        <f>H21/H23</f>
        <v>9.1116744736706643</v>
      </c>
      <c r="I27" s="121">
        <f>I21/I23</f>
        <v>9.1955279774758747</v>
      </c>
    </row>
    <row r="28" spans="1:10" x14ac:dyDescent="0.25">
      <c r="A28" s="11" t="s">
        <v>35</v>
      </c>
      <c r="B28" s="11"/>
      <c r="C28" s="32">
        <v>0.99978094194961664</v>
      </c>
      <c r="D28" s="32">
        <v>-0.99056060780476574</v>
      </c>
      <c r="E28" s="32">
        <v>-2.4666896789782529</v>
      </c>
      <c r="F28" s="32">
        <v>-5.0435580009170096E-3</v>
      </c>
      <c r="G28" s="32">
        <v>0.59411026138568657</v>
      </c>
      <c r="H28" s="121">
        <f>H21/H24</f>
        <v>9.2648118597827747</v>
      </c>
      <c r="I28" s="121">
        <f>I21/I24</f>
        <v>9.3540715632944273</v>
      </c>
    </row>
    <row r="31" spans="1:10" ht="16.05" customHeight="1" x14ac:dyDescent="0.3">
      <c r="A31" s="112" t="s">
        <v>36</v>
      </c>
      <c r="B31" s="112"/>
      <c r="C31" s="203" t="s">
        <v>37</v>
      </c>
      <c r="D31" s="202"/>
      <c r="E31" s="202"/>
      <c r="F31" s="202"/>
      <c r="G31" s="202"/>
      <c r="H31" s="202"/>
      <c r="I31" s="202"/>
      <c r="J31" s="202"/>
    </row>
    <row r="32" spans="1:10" x14ac:dyDescent="0.25">
      <c r="A32" s="105" t="s">
        <v>15</v>
      </c>
      <c r="B32" s="105"/>
      <c r="C32" s="110" t="s">
        <v>38</v>
      </c>
      <c r="D32" s="106"/>
      <c r="E32" s="106"/>
      <c r="F32" s="106"/>
      <c r="G32" s="106"/>
      <c r="H32" s="106"/>
      <c r="I32" s="106"/>
    </row>
    <row r="33" spans="1:9" x14ac:dyDescent="0.25">
      <c r="A33" s="107" t="s">
        <v>16</v>
      </c>
      <c r="B33" s="107"/>
      <c r="C33" s="111" t="s">
        <v>39</v>
      </c>
      <c r="D33" s="106"/>
      <c r="E33" s="106"/>
      <c r="F33" s="106"/>
      <c r="G33" s="106"/>
      <c r="H33" s="106"/>
      <c r="I33" s="106"/>
    </row>
    <row r="34" spans="1:9" x14ac:dyDescent="0.25">
      <c r="A34" s="105" t="s">
        <v>17</v>
      </c>
      <c r="B34" s="105"/>
      <c r="C34" s="110" t="s">
        <v>40</v>
      </c>
      <c r="D34" s="106"/>
      <c r="E34" s="106"/>
      <c r="F34" s="106"/>
      <c r="G34" s="106"/>
      <c r="H34" s="106"/>
      <c r="I34" s="106"/>
    </row>
    <row r="35" spans="1:9" x14ac:dyDescent="0.25">
      <c r="A35" s="108" t="s">
        <v>18</v>
      </c>
      <c r="B35" s="108"/>
      <c r="C35" s="111" t="s">
        <v>39</v>
      </c>
      <c r="D35" s="106"/>
      <c r="E35" s="106"/>
      <c r="F35" s="106"/>
      <c r="G35" s="106"/>
      <c r="H35" s="106"/>
      <c r="I35" s="106"/>
    </row>
    <row r="36" spans="1:9" x14ac:dyDescent="0.25">
      <c r="A36" s="108" t="s">
        <v>19</v>
      </c>
      <c r="B36" s="108"/>
      <c r="C36" s="111" t="s">
        <v>39</v>
      </c>
      <c r="D36" s="106"/>
      <c r="E36" s="106"/>
      <c r="F36" s="106"/>
      <c r="G36" s="106"/>
      <c r="H36" s="106"/>
      <c r="I36" s="106"/>
    </row>
    <row r="37" spans="1:9" x14ac:dyDescent="0.25">
      <c r="A37" s="105" t="s">
        <v>20</v>
      </c>
      <c r="B37" s="105"/>
      <c r="C37" s="110" t="s">
        <v>41</v>
      </c>
      <c r="D37" s="106"/>
      <c r="E37" s="106"/>
      <c r="F37" s="106"/>
      <c r="G37" s="106"/>
      <c r="H37" s="106"/>
      <c r="I37" s="106"/>
    </row>
    <row r="38" spans="1:9" x14ac:dyDescent="0.25">
      <c r="A38" s="108" t="s">
        <v>21</v>
      </c>
      <c r="B38" s="108"/>
      <c r="C38" s="111" t="s">
        <v>42</v>
      </c>
      <c r="D38" s="106"/>
      <c r="E38" s="106"/>
      <c r="F38" s="106"/>
      <c r="G38" s="106"/>
      <c r="H38" s="106"/>
      <c r="I38" s="106"/>
    </row>
    <row r="39" spans="1:9" x14ac:dyDescent="0.25">
      <c r="A39" s="105" t="s">
        <v>22</v>
      </c>
      <c r="B39" s="105"/>
      <c r="C39" s="110" t="s">
        <v>43</v>
      </c>
      <c r="D39" s="106"/>
      <c r="E39" s="106"/>
      <c r="F39" s="106"/>
      <c r="G39" s="106"/>
      <c r="H39" s="106"/>
      <c r="I39" s="106"/>
    </row>
    <row r="40" spans="1:9" x14ac:dyDescent="0.25">
      <c r="A40" s="108" t="s">
        <v>23</v>
      </c>
      <c r="B40" s="108"/>
      <c r="C40" s="111" t="s">
        <v>39</v>
      </c>
      <c r="D40" s="106"/>
      <c r="E40" s="106"/>
      <c r="F40" s="106"/>
      <c r="G40" s="106"/>
      <c r="H40" s="106"/>
      <c r="I40" s="106"/>
    </row>
    <row r="41" spans="1:9" x14ac:dyDescent="0.25">
      <c r="A41" s="108" t="s">
        <v>24</v>
      </c>
      <c r="B41" s="108"/>
      <c r="C41" s="111" t="s">
        <v>44</v>
      </c>
      <c r="D41" s="106"/>
      <c r="E41" s="106"/>
      <c r="F41" s="106"/>
      <c r="G41" s="106"/>
      <c r="H41" s="106"/>
      <c r="I41" s="106"/>
    </row>
    <row r="42" spans="1:9" x14ac:dyDescent="0.25">
      <c r="A42" s="108" t="s">
        <v>25</v>
      </c>
      <c r="B42" s="108"/>
      <c r="C42" s="111" t="s">
        <v>45</v>
      </c>
      <c r="D42" s="106"/>
      <c r="E42" s="106"/>
      <c r="F42" s="106"/>
      <c r="G42" s="106"/>
      <c r="H42" s="106"/>
      <c r="I42" s="106"/>
    </row>
    <row r="43" spans="1:9" x14ac:dyDescent="0.25">
      <c r="A43" s="105" t="s">
        <v>26</v>
      </c>
      <c r="B43" s="105"/>
      <c r="C43" s="110" t="s">
        <v>46</v>
      </c>
      <c r="D43" s="106"/>
      <c r="E43" s="106"/>
      <c r="F43" s="106"/>
      <c r="G43" s="106"/>
      <c r="H43" s="106"/>
      <c r="I43" s="106"/>
    </row>
    <row r="44" spans="1:9" x14ac:dyDescent="0.25">
      <c r="A44" s="108" t="s">
        <v>27</v>
      </c>
      <c r="B44" s="108"/>
      <c r="C44" s="111" t="s">
        <v>39</v>
      </c>
      <c r="D44" s="106"/>
      <c r="E44" s="106"/>
      <c r="F44" s="106"/>
      <c r="G44" s="106"/>
      <c r="H44" s="106"/>
      <c r="I44" s="106"/>
    </row>
    <row r="45" spans="1:9" x14ac:dyDescent="0.25">
      <c r="A45" s="108" t="s">
        <v>28</v>
      </c>
      <c r="B45" s="108"/>
      <c r="C45" s="111" t="s">
        <v>44</v>
      </c>
      <c r="D45" s="106"/>
      <c r="E45" s="106"/>
      <c r="F45" s="106"/>
      <c r="G45" s="106"/>
      <c r="H45" s="106"/>
      <c r="I45" s="106"/>
    </row>
    <row r="46" spans="1:9" x14ac:dyDescent="0.25">
      <c r="A46" s="105" t="s">
        <v>29</v>
      </c>
      <c r="B46" s="105"/>
      <c r="C46" s="110" t="s">
        <v>47</v>
      </c>
      <c r="D46" s="106"/>
      <c r="E46" s="106"/>
      <c r="F46" s="106"/>
      <c r="G46" s="106"/>
      <c r="H46" s="106"/>
      <c r="I46" s="106"/>
    </row>
    <row r="47" spans="1:9" x14ac:dyDescent="0.25">
      <c r="A47" s="108" t="s">
        <v>30</v>
      </c>
      <c r="B47" s="108"/>
      <c r="C47" s="111" t="s">
        <v>44</v>
      </c>
      <c r="D47" s="106"/>
      <c r="E47" s="106"/>
      <c r="F47" s="106"/>
      <c r="G47" s="106"/>
      <c r="H47" s="106"/>
      <c r="I47" s="106"/>
    </row>
    <row r="48" spans="1:9" x14ac:dyDescent="0.25">
      <c r="A48" s="105" t="s">
        <v>31</v>
      </c>
      <c r="B48" s="105"/>
      <c r="C48" s="110" t="s">
        <v>48</v>
      </c>
      <c r="D48" s="106"/>
      <c r="E48" s="106"/>
      <c r="F48" s="106"/>
      <c r="G48" s="106"/>
      <c r="H48" s="106"/>
      <c r="I48" s="106"/>
    </row>
    <row r="49" spans="1:10" x14ac:dyDescent="0.25">
      <c r="A49" s="106"/>
      <c r="B49" s="106"/>
      <c r="C49" s="111"/>
      <c r="D49" s="106"/>
      <c r="E49" s="106"/>
      <c r="F49" s="106"/>
      <c r="G49" s="106"/>
      <c r="H49" s="106"/>
      <c r="I49" s="106"/>
    </row>
    <row r="50" spans="1:10" x14ac:dyDescent="0.25">
      <c r="A50" s="109" t="s">
        <v>32</v>
      </c>
      <c r="B50" s="109"/>
      <c r="C50" s="111" t="s">
        <v>44</v>
      </c>
      <c r="D50" s="106"/>
      <c r="E50" s="106"/>
      <c r="F50" s="106"/>
      <c r="G50" s="106"/>
      <c r="H50" s="106"/>
      <c r="I50" s="106"/>
    </row>
    <row r="51" spans="1:10" x14ac:dyDescent="0.25">
      <c r="A51" s="109" t="s">
        <v>33</v>
      </c>
      <c r="B51" s="109"/>
      <c r="C51" s="111" t="s">
        <v>44</v>
      </c>
      <c r="D51" s="106"/>
      <c r="E51" s="106"/>
      <c r="F51" s="106"/>
      <c r="G51" s="106"/>
      <c r="H51" s="106"/>
      <c r="I51" s="106"/>
    </row>
    <row r="52" spans="1:10" x14ac:dyDescent="0.25">
      <c r="A52" s="28"/>
      <c r="B52" s="28"/>
      <c r="C52" s="22"/>
    </row>
    <row r="53" spans="1:10" ht="13.95" customHeight="1" thickBot="1" x14ac:dyDescent="0.3">
      <c r="A53" s="21"/>
      <c r="B53" s="21"/>
      <c r="C53" s="204" t="s">
        <v>49</v>
      </c>
      <c r="D53" s="205"/>
      <c r="E53" s="205"/>
      <c r="F53" s="205"/>
      <c r="G53" s="205"/>
      <c r="H53" s="205"/>
    </row>
    <row r="54" spans="1:10" ht="58.2" customHeight="1" thickBot="1" x14ac:dyDescent="0.3">
      <c r="C54" s="144" t="s">
        <v>238</v>
      </c>
      <c r="D54" s="142" t="s">
        <v>237</v>
      </c>
      <c r="E54" s="142" t="s">
        <v>236</v>
      </c>
      <c r="F54" s="142" t="s">
        <v>235</v>
      </c>
      <c r="G54" s="142" t="s">
        <v>239</v>
      </c>
      <c r="H54" s="145" t="s">
        <v>50</v>
      </c>
    </row>
    <row r="55" spans="1:10" x14ac:dyDescent="0.25">
      <c r="A55" s="20" t="s">
        <v>16</v>
      </c>
      <c r="B55" s="20"/>
      <c r="C55" s="159">
        <f>C6/C$5</f>
        <v>1.2714826656648888</v>
      </c>
      <c r="D55" s="160">
        <f>D6/D$5</f>
        <v>1.3627243724821114</v>
      </c>
      <c r="E55" s="160">
        <f>E6/E$5</f>
        <v>1.2416028177718179</v>
      </c>
      <c r="F55" s="160">
        <f>F6/F$5</f>
        <v>1.398898418977359</v>
      </c>
      <c r="G55" s="160">
        <f>G6/G$5</f>
        <v>1.4524793766496076</v>
      </c>
      <c r="H55" s="161">
        <f t="shared" ref="H55:H62" si="0">AVERAGE(C55:G55)</f>
        <v>1.345437530309157</v>
      </c>
    </row>
    <row r="56" spans="1:10" x14ac:dyDescent="0.25">
      <c r="A56" s="21" t="s">
        <v>18</v>
      </c>
      <c r="B56" s="21"/>
      <c r="C56" s="159">
        <f t="shared" ref="C56:G57" si="1">C8/C$5</f>
        <v>1.8061931339685269E-2</v>
      </c>
      <c r="D56" s="160">
        <f t="shared" si="1"/>
        <v>1.8948268387478796E-2</v>
      </c>
      <c r="E56" s="160">
        <f t="shared" si="1"/>
        <v>0.11234521905776887</v>
      </c>
      <c r="F56" s="160">
        <f t="shared" si="1"/>
        <v>1.9828807545775141E-2</v>
      </c>
      <c r="G56" s="160">
        <f t="shared" si="1"/>
        <v>6.3349558695624487E-4</v>
      </c>
      <c r="H56" s="161">
        <f t="shared" si="0"/>
        <v>3.396354438353287E-2</v>
      </c>
    </row>
    <row r="57" spans="1:10" x14ac:dyDescent="0.25">
      <c r="A57" s="21" t="s">
        <v>19</v>
      </c>
      <c r="B57" s="21"/>
      <c r="C57" s="159">
        <f t="shared" si="1"/>
        <v>0.51884525834310347</v>
      </c>
      <c r="D57" s="160">
        <f t="shared" si="1"/>
        <v>0.58819124397859246</v>
      </c>
      <c r="E57" s="160">
        <f t="shared" si="1"/>
        <v>0.44779416601394406</v>
      </c>
      <c r="F57" s="160">
        <f t="shared" si="1"/>
        <v>0.62646871858535169</v>
      </c>
      <c r="G57" s="160">
        <f t="shared" si="1"/>
        <v>0.68380949733804464</v>
      </c>
      <c r="H57" s="161">
        <f t="shared" si="0"/>
        <v>0.57302177685180733</v>
      </c>
    </row>
    <row r="58" spans="1:10" x14ac:dyDescent="0.25">
      <c r="A58" s="21" t="s">
        <v>21</v>
      </c>
      <c r="B58" s="21"/>
      <c r="C58" s="159">
        <f>C11/C$5</f>
        <v>0.42313384468039433</v>
      </c>
      <c r="D58" s="160">
        <f>D11/D$5</f>
        <v>0.50352296707164357</v>
      </c>
      <c r="E58" s="160">
        <f>E11/E$5</f>
        <v>0.36714832714145074</v>
      </c>
      <c r="F58" s="160">
        <f>F11/F$5</f>
        <v>0.53185624582125168</v>
      </c>
      <c r="G58" s="160">
        <f>G11/G$5</f>
        <v>0.58038317797056749</v>
      </c>
      <c r="H58" s="161">
        <f t="shared" si="0"/>
        <v>0.48120891253706155</v>
      </c>
    </row>
    <row r="59" spans="1:10" x14ac:dyDescent="0.25">
      <c r="A59" s="21" t="s">
        <v>23</v>
      </c>
      <c r="B59" s="21"/>
      <c r="C59" s="159">
        <f>C13/C$5</f>
        <v>0</v>
      </c>
      <c r="D59" s="160">
        <f>D13/D$5</f>
        <v>0</v>
      </c>
      <c r="E59" s="160">
        <f>E13/E$5</f>
        <v>0</v>
      </c>
      <c r="F59" s="160">
        <f>F13/F$5</f>
        <v>0</v>
      </c>
      <c r="G59" s="160">
        <f>G13/G$5</f>
        <v>0</v>
      </c>
      <c r="H59" s="161">
        <f t="shared" si="0"/>
        <v>0</v>
      </c>
    </row>
    <row r="60" spans="1:10" x14ac:dyDescent="0.25">
      <c r="A60" s="21" t="s">
        <v>25</v>
      </c>
      <c r="B60" s="21"/>
      <c r="C60" s="159">
        <f>C15/C$5</f>
        <v>0.42280565233904127</v>
      </c>
      <c r="D60" s="160">
        <f>D15/D$5</f>
        <v>0.50371707202124427</v>
      </c>
      <c r="E60" s="160">
        <f>E15/E$5</f>
        <v>0.47822522827787911</v>
      </c>
      <c r="F60" s="160">
        <f>F15/F$5</f>
        <v>0.56117388256436052</v>
      </c>
      <c r="G60" s="160">
        <f>G15/G$5</f>
        <v>0.59668497665794606</v>
      </c>
      <c r="H60" s="161">
        <f t="shared" si="0"/>
        <v>0.51252136237209422</v>
      </c>
    </row>
    <row r="61" spans="1:10" x14ac:dyDescent="0.25">
      <c r="A61" s="21" t="s">
        <v>27</v>
      </c>
      <c r="B61" s="21"/>
      <c r="C61" s="159">
        <f t="shared" ref="C61:G62" si="2">C17/C$5</f>
        <v>0</v>
      </c>
      <c r="D61" s="160">
        <f t="shared" si="2"/>
        <v>0</v>
      </c>
      <c r="E61" s="160">
        <f t="shared" si="2"/>
        <v>0</v>
      </c>
      <c r="F61" s="160">
        <f t="shared" si="2"/>
        <v>0</v>
      </c>
      <c r="G61" s="160">
        <f t="shared" si="2"/>
        <v>0</v>
      </c>
      <c r="H61" s="161">
        <f t="shared" si="0"/>
        <v>0</v>
      </c>
      <c r="J61" s="162"/>
    </row>
    <row r="62" spans="1:10" ht="13.95" customHeight="1" thickBot="1" x14ac:dyDescent="0.3">
      <c r="A62" s="21" t="s">
        <v>28</v>
      </c>
      <c r="B62" s="21"/>
      <c r="C62" s="163">
        <f t="shared" si="2"/>
        <v>0.30389423950197331</v>
      </c>
      <c r="D62" s="164">
        <f t="shared" si="2"/>
        <v>0.36831678531992573</v>
      </c>
      <c r="E62" s="164">
        <f t="shared" si="2"/>
        <v>0.23625150559204108</v>
      </c>
      <c r="F62" s="164">
        <f t="shared" si="2"/>
        <v>0.38659329110921969</v>
      </c>
      <c r="G62" s="164">
        <f t="shared" si="2"/>
        <v>0.42031123510793172</v>
      </c>
      <c r="H62" s="165">
        <f t="shared" si="0"/>
        <v>0.34307341132621827</v>
      </c>
    </row>
    <row r="63" spans="1:10" x14ac:dyDescent="0.25">
      <c r="A63" s="1"/>
      <c r="B63" s="1"/>
    </row>
    <row r="64" spans="1:10" x14ac:dyDescent="0.25">
      <c r="A64" s="4"/>
      <c r="B64" s="4"/>
    </row>
  </sheetData>
  <mergeCells count="2">
    <mergeCell ref="C31:J31"/>
    <mergeCell ref="C53:H53"/>
  </mergeCells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youtline">
                <anchor moveWithCells="1" sizeWithCells="1">
                  <from>
                    <xdr:col>9</xdr:col>
                    <xdr:colOff>365760</xdr:colOff>
                    <xdr:row>2</xdr:row>
                    <xdr:rowOff>76200</xdr:rowOff>
                  </from>
                  <to>
                    <xdr:col>11</xdr:col>
                    <xdr:colOff>373380</xdr:colOff>
                    <xdr:row>2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BalanceSheet">
                <anchor moveWithCells="1" sizeWithCells="1">
                  <from>
                    <xdr:col>9</xdr:col>
                    <xdr:colOff>358140</xdr:colOff>
                    <xdr:row>2</xdr:row>
                    <xdr:rowOff>320040</xdr:rowOff>
                  </from>
                  <to>
                    <xdr:col>11</xdr:col>
                    <xdr:colOff>365760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ashflow">
                <anchor moveWithCells="1" sizeWithCells="1">
                  <from>
                    <xdr:col>9</xdr:col>
                    <xdr:colOff>358140</xdr:colOff>
                    <xdr:row>4</xdr:row>
                    <xdr:rowOff>15240</xdr:rowOff>
                  </from>
                  <to>
                    <xdr:col>11</xdr:col>
                    <xdr:colOff>365760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L108"/>
  <sheetViews>
    <sheetView showGridLines="0" zoomScaleNormal="100" workbookViewId="0"/>
  </sheetViews>
  <sheetFormatPr defaultColWidth="8.77734375" defaultRowHeight="13.2" x14ac:dyDescent="0.25"/>
  <cols>
    <col min="1" max="1" width="50.109375" customWidth="1"/>
    <col min="2" max="9" width="10.6640625" customWidth="1"/>
    <col min="12" max="12" width="3" customWidth="1"/>
  </cols>
  <sheetData>
    <row r="1" spans="1:11" ht="18" customHeight="1" x14ac:dyDescent="0.3">
      <c r="A1" s="156" t="s">
        <v>6</v>
      </c>
    </row>
    <row r="2" spans="1:11" x14ac:dyDescent="0.25">
      <c r="A2" s="7" t="s">
        <v>51</v>
      </c>
    </row>
    <row r="3" spans="1:11" ht="55.5" customHeight="1" x14ac:dyDescent="0.25">
      <c r="B3" s="141" t="s">
        <v>52</v>
      </c>
      <c r="C3" s="141" t="s">
        <v>8</v>
      </c>
      <c r="D3" s="141" t="s">
        <v>9</v>
      </c>
      <c r="E3" s="141" t="s">
        <v>10</v>
      </c>
      <c r="F3" s="141" t="s">
        <v>11</v>
      </c>
      <c r="G3" s="141" t="s">
        <v>12</v>
      </c>
      <c r="H3" s="143" t="s">
        <v>13</v>
      </c>
      <c r="I3" s="143" t="s">
        <v>14</v>
      </c>
    </row>
    <row r="5" spans="1:11" x14ac:dyDescent="0.25">
      <c r="A5" s="15" t="s">
        <v>53</v>
      </c>
      <c r="B5" s="15">
        <v>1093.5050000000001</v>
      </c>
      <c r="C5">
        <v>1150.5170000000001</v>
      </c>
      <c r="D5">
        <v>1259.8710000000001</v>
      </c>
      <c r="E5">
        <v>1154.867</v>
      </c>
      <c r="F5">
        <v>2243.971</v>
      </c>
      <c r="G5">
        <v>1984.336</v>
      </c>
      <c r="H5">
        <v>2100</v>
      </c>
      <c r="I5">
        <v>2200</v>
      </c>
    </row>
    <row r="6" spans="1:11" x14ac:dyDescent="0.25">
      <c r="A6" s="16" t="s">
        <v>54</v>
      </c>
      <c r="B6" s="25">
        <v>40.219000000000001</v>
      </c>
      <c r="C6" s="25">
        <v>62.399000000000001</v>
      </c>
      <c r="D6" s="25">
        <v>77.001000000000005</v>
      </c>
      <c r="E6" s="25">
        <v>132.90600000000001</v>
      </c>
      <c r="F6" s="25">
        <v>124.76900000000001</v>
      </c>
      <c r="G6" s="25">
        <v>120.173</v>
      </c>
      <c r="H6" s="127">
        <v>125</v>
      </c>
      <c r="I6" s="127">
        <v>130</v>
      </c>
    </row>
    <row r="7" spans="1:11" x14ac:dyDescent="0.25">
      <c r="A7" s="35" t="s">
        <v>55</v>
      </c>
      <c r="B7" s="25">
        <v>518.51300000000003</v>
      </c>
      <c r="C7" s="25">
        <v>647.23</v>
      </c>
      <c r="D7" s="25">
        <v>966.48099999999999</v>
      </c>
      <c r="E7" s="25">
        <v>1447.367</v>
      </c>
      <c r="F7" s="25">
        <v>1323.6020000000001</v>
      </c>
      <c r="G7" s="25">
        <v>1442.0809999999999</v>
      </c>
      <c r="H7" s="127">
        <v>1500</v>
      </c>
      <c r="I7" s="127">
        <v>1550</v>
      </c>
      <c r="K7" s="166"/>
    </row>
    <row r="8" spans="1:11" x14ac:dyDescent="0.25">
      <c r="A8" s="35" t="s">
        <v>56</v>
      </c>
      <c r="B8" s="25">
        <v>155.70099999999999</v>
      </c>
      <c r="C8" s="25">
        <v>264.233</v>
      </c>
      <c r="D8" s="25">
        <v>311.5</v>
      </c>
      <c r="E8" s="25">
        <v>424.31299999999999</v>
      </c>
      <c r="F8" s="25">
        <v>368.23500000000001</v>
      </c>
      <c r="G8" s="25">
        <v>433.71199999999999</v>
      </c>
      <c r="H8" s="127">
        <v>450</v>
      </c>
      <c r="I8" s="127">
        <v>470</v>
      </c>
    </row>
    <row r="9" spans="1:11" ht="13.95" customHeight="1" thickBot="1" x14ac:dyDescent="0.3">
      <c r="A9" s="16" t="s">
        <v>57</v>
      </c>
      <c r="B9" s="25">
        <v>1807.9380000000001</v>
      </c>
      <c r="C9" s="25">
        <v>2124.3789999999999</v>
      </c>
      <c r="D9" s="25">
        <v>2614.8530000000001</v>
      </c>
      <c r="E9" s="25">
        <v>3159.453</v>
      </c>
      <c r="F9" s="25">
        <v>4060.5770000000002</v>
      </c>
      <c r="G9" s="25">
        <v>3980.3020000000001</v>
      </c>
      <c r="H9" s="127">
        <v>4175</v>
      </c>
      <c r="I9" s="127">
        <v>4350</v>
      </c>
    </row>
    <row r="10" spans="1:11" x14ac:dyDescent="0.25">
      <c r="A10" s="17" t="s">
        <v>58</v>
      </c>
      <c r="B10" s="37">
        <v>1361.357</v>
      </c>
      <c r="C10" s="37">
        <v>1480.5219999999999</v>
      </c>
      <c r="D10" s="37">
        <v>1731.2529999999999</v>
      </c>
      <c r="E10" s="37">
        <v>2239.0329999999999</v>
      </c>
      <c r="F10" s="37">
        <v>2811.4209999999998</v>
      </c>
      <c r="G10" s="37">
        <v>3196.873</v>
      </c>
      <c r="H10" s="125">
        <v>3700</v>
      </c>
      <c r="I10" s="125">
        <v>4200</v>
      </c>
    </row>
    <row r="11" spans="1:11" x14ac:dyDescent="0.25">
      <c r="A11" s="17"/>
      <c r="B11" s="43">
        <v>0</v>
      </c>
      <c r="C11" s="43">
        <v>0</v>
      </c>
      <c r="D11" s="43">
        <v>0</v>
      </c>
      <c r="E11" s="43">
        <v>0</v>
      </c>
      <c r="F11" s="43">
        <v>0</v>
      </c>
      <c r="G11" s="43">
        <v>0</v>
      </c>
      <c r="H11" s="127">
        <v>0</v>
      </c>
      <c r="I11" s="127">
        <v>0</v>
      </c>
    </row>
    <row r="12" spans="1:11" x14ac:dyDescent="0.25">
      <c r="A12" s="35" t="s">
        <v>59</v>
      </c>
      <c r="B12" s="43">
        <v>1361.357</v>
      </c>
      <c r="C12" s="43">
        <v>1480.5219999999999</v>
      </c>
      <c r="D12" s="43">
        <v>1731.2529999999999</v>
      </c>
      <c r="E12" s="43">
        <v>2239.0329999999999</v>
      </c>
      <c r="F12" s="43">
        <v>2811.4209999999998</v>
      </c>
      <c r="G12" s="43">
        <v>3196.873</v>
      </c>
      <c r="H12" s="127">
        <v>3700</v>
      </c>
      <c r="I12" s="127">
        <v>4200</v>
      </c>
    </row>
    <row r="13" spans="1:11" ht="13.95" customHeight="1" thickBot="1" x14ac:dyDescent="0.3">
      <c r="A13" s="16" t="s">
        <v>60</v>
      </c>
      <c r="B13" s="43">
        <v>0</v>
      </c>
      <c r="C13" s="43">
        <v>0</v>
      </c>
      <c r="D13" s="43">
        <v>0</v>
      </c>
      <c r="E13" s="43">
        <v>0</v>
      </c>
      <c r="F13" s="43">
        <v>0</v>
      </c>
      <c r="G13" s="43">
        <v>0</v>
      </c>
      <c r="H13" s="127">
        <v>0</v>
      </c>
      <c r="I13" s="127">
        <v>0</v>
      </c>
    </row>
    <row r="14" spans="1:11" x14ac:dyDescent="0.25">
      <c r="A14" s="16" t="s">
        <v>61</v>
      </c>
      <c r="B14" s="37">
        <v>0</v>
      </c>
      <c r="C14" s="37">
        <v>0</v>
      </c>
      <c r="D14" s="37">
        <v>0</v>
      </c>
      <c r="E14" s="37">
        <v>0</v>
      </c>
      <c r="F14" s="37">
        <v>0</v>
      </c>
      <c r="G14" s="37">
        <v>0</v>
      </c>
      <c r="H14" s="125">
        <v>0</v>
      </c>
      <c r="I14" s="125">
        <v>0</v>
      </c>
    </row>
    <row r="15" spans="1:11" x14ac:dyDescent="0.25">
      <c r="A15" s="16" t="s">
        <v>62</v>
      </c>
      <c r="B15" s="43">
        <v>0</v>
      </c>
      <c r="C15" s="43">
        <v>0</v>
      </c>
      <c r="D15" s="43">
        <v>0</v>
      </c>
      <c r="E15" s="43">
        <v>0</v>
      </c>
      <c r="F15" s="43">
        <v>0</v>
      </c>
      <c r="G15" s="43">
        <v>0</v>
      </c>
      <c r="H15" s="127">
        <v>0</v>
      </c>
      <c r="I15" s="127">
        <v>0</v>
      </c>
    </row>
    <row r="16" spans="1:11" x14ac:dyDescent="0.25">
      <c r="A16" s="16" t="s">
        <v>63</v>
      </c>
      <c r="B16" s="43">
        <v>31.434999999999999</v>
      </c>
      <c r="C16" s="43">
        <v>6.7309999999999999</v>
      </c>
      <c r="D16" s="43">
        <v>6.0910000000000002</v>
      </c>
      <c r="E16" s="43">
        <v>6.4020000000000001</v>
      </c>
      <c r="F16" s="43">
        <v>9.1760000000000002</v>
      </c>
      <c r="G16" s="43">
        <v>17.085000000000001</v>
      </c>
      <c r="H16" s="127">
        <v>18</v>
      </c>
      <c r="I16" s="127">
        <v>19</v>
      </c>
      <c r="K16" s="166"/>
    </row>
    <row r="17" spans="1:12" x14ac:dyDescent="0.25">
      <c r="A17" s="16" t="s">
        <v>64</v>
      </c>
      <c r="B17" s="25">
        <v>80.623999999999995</v>
      </c>
      <c r="C17" s="25">
        <v>573.58299999999997</v>
      </c>
      <c r="D17" s="25">
        <v>590.28099999999995</v>
      </c>
      <c r="E17" s="25">
        <v>202.15</v>
      </c>
      <c r="F17" s="25">
        <v>210.767</v>
      </c>
      <c r="G17" s="25">
        <v>409.03199999999998</v>
      </c>
      <c r="H17" s="127">
        <v>420</v>
      </c>
      <c r="I17" s="127">
        <v>430</v>
      </c>
    </row>
    <row r="18" spans="1:12" x14ac:dyDescent="0.25">
      <c r="A18" s="16" t="s">
        <v>65</v>
      </c>
      <c r="B18" s="25">
        <v>1473.4159999999999</v>
      </c>
      <c r="C18" s="25">
        <v>2060.8359999999998</v>
      </c>
      <c r="D18" s="25">
        <v>2327.625</v>
      </c>
      <c r="E18" s="25">
        <v>2447.585</v>
      </c>
      <c r="F18" s="25">
        <v>3031.364</v>
      </c>
      <c r="G18" s="25">
        <v>3622.99</v>
      </c>
      <c r="H18" s="127">
        <v>4138</v>
      </c>
      <c r="I18" s="127">
        <v>4649</v>
      </c>
    </row>
    <row r="19" spans="1:12" ht="13.95" customHeight="1" thickBot="1" x14ac:dyDescent="0.3">
      <c r="A19" s="16" t="s">
        <v>66</v>
      </c>
      <c r="B19" s="25">
        <v>3281.3539999999998</v>
      </c>
      <c r="C19" s="25">
        <v>4185.2150000000001</v>
      </c>
      <c r="D19" s="25">
        <v>4942.4780000000001</v>
      </c>
      <c r="E19" s="25">
        <v>5607.0379999999996</v>
      </c>
      <c r="F19" s="25">
        <v>7091.9409999999998</v>
      </c>
      <c r="G19" s="25">
        <v>7603.2920000000004</v>
      </c>
      <c r="H19" s="127">
        <v>8313</v>
      </c>
      <c r="I19" s="127">
        <v>8999</v>
      </c>
    </row>
    <row r="20" spans="1:12" x14ac:dyDescent="0.25">
      <c r="A20" s="17" t="s">
        <v>67</v>
      </c>
      <c r="B20" s="37">
        <v>376294</v>
      </c>
      <c r="C20" s="37">
        <v>276804</v>
      </c>
      <c r="D20" s="37">
        <v>278383</v>
      </c>
      <c r="E20" s="37">
        <v>245234</v>
      </c>
      <c r="F20" s="37">
        <v>163580</v>
      </c>
      <c r="G20" s="37">
        <v>166638</v>
      </c>
      <c r="H20" s="125">
        <f>SUM(H14:H19)</f>
        <v>12889</v>
      </c>
      <c r="I20" s="125">
        <f>SUM(I14:I19)</f>
        <v>14097</v>
      </c>
    </row>
    <row r="21" spans="1:12" ht="13.95" customHeight="1" thickBot="1" x14ac:dyDescent="0.3">
      <c r="A21" s="17"/>
      <c r="B21" s="38">
        <v>128.49700000000001</v>
      </c>
      <c r="C21" s="38">
        <v>166.09100000000001</v>
      </c>
      <c r="D21" s="38">
        <v>188.99600000000001</v>
      </c>
      <c r="E21" s="38">
        <v>207.97200000000001</v>
      </c>
      <c r="F21" s="38">
        <v>249.27</v>
      </c>
      <c r="G21" s="38">
        <v>275.154</v>
      </c>
      <c r="H21" s="122">
        <v>290</v>
      </c>
      <c r="I21" s="122">
        <v>305</v>
      </c>
    </row>
    <row r="22" spans="1:12" x14ac:dyDescent="0.25">
      <c r="A22" s="17" t="s">
        <v>68</v>
      </c>
      <c r="B22" s="37">
        <v>79.997</v>
      </c>
      <c r="C22" s="37">
        <v>172.24600000000001</v>
      </c>
      <c r="D22" s="37">
        <v>289.72800000000001</v>
      </c>
      <c r="E22" s="37">
        <v>172.732</v>
      </c>
      <c r="F22" s="37">
        <v>348.44099999999997</v>
      </c>
      <c r="G22" s="37">
        <v>271.40600000000001</v>
      </c>
      <c r="H22" s="125">
        <v>290</v>
      </c>
      <c r="I22" s="125">
        <v>305</v>
      </c>
    </row>
    <row r="23" spans="1:12" x14ac:dyDescent="0.25">
      <c r="A23" s="14"/>
      <c r="B23" s="39">
        <v>26.436</v>
      </c>
      <c r="C23" s="25">
        <v>8.3569999999999993</v>
      </c>
      <c r="D23" s="25">
        <v>133.852</v>
      </c>
      <c r="E23" s="25">
        <v>174.221</v>
      </c>
      <c r="F23" s="25">
        <v>12.098000000000001</v>
      </c>
      <c r="G23" s="25">
        <v>183.126</v>
      </c>
      <c r="H23" s="127">
        <v>170</v>
      </c>
      <c r="I23" s="127">
        <v>160</v>
      </c>
    </row>
    <row r="24" spans="1:12" x14ac:dyDescent="0.25">
      <c r="A24" s="15" t="s">
        <v>69</v>
      </c>
      <c r="B24" s="40">
        <v>385.488</v>
      </c>
      <c r="C24" s="40">
        <v>536.48400000000004</v>
      </c>
      <c r="D24" s="40">
        <v>792.75800000000004</v>
      </c>
      <c r="E24" s="40">
        <v>937.27300000000002</v>
      </c>
      <c r="F24" s="40">
        <v>1021.452</v>
      </c>
      <c r="G24" s="40">
        <v>1109.944</v>
      </c>
      <c r="H24" s="126">
        <v>1150</v>
      </c>
      <c r="I24" s="126">
        <v>1180</v>
      </c>
      <c r="J24" s="15"/>
      <c r="K24" s="15"/>
      <c r="L24" s="15"/>
    </row>
    <row r="25" spans="1:12" x14ac:dyDescent="0.25">
      <c r="A25" s="35" t="s">
        <v>70</v>
      </c>
      <c r="B25" s="25">
        <v>620.41800000000001</v>
      </c>
      <c r="C25" s="25">
        <v>883.178</v>
      </c>
      <c r="D25" s="25">
        <v>1405.3340000000001</v>
      </c>
      <c r="E25" s="25">
        <v>1492.1980000000001</v>
      </c>
      <c r="F25" s="25">
        <v>1631.261</v>
      </c>
      <c r="G25" s="25">
        <v>1839.63</v>
      </c>
      <c r="H25" s="127">
        <v>1900</v>
      </c>
      <c r="I25" s="127">
        <v>1950</v>
      </c>
    </row>
    <row r="26" spans="1:12" x14ac:dyDescent="0.25">
      <c r="A26" s="35" t="s">
        <v>71</v>
      </c>
      <c r="B26" s="25">
        <v>611.46400000000006</v>
      </c>
      <c r="C26" s="25">
        <v>632.59</v>
      </c>
      <c r="D26" s="25">
        <v>692.05600000000004</v>
      </c>
      <c r="E26" s="25">
        <v>862.36199999999997</v>
      </c>
      <c r="F26" s="25">
        <v>1154.0119999999999</v>
      </c>
      <c r="G26" s="25">
        <v>1300.6369999999999</v>
      </c>
      <c r="H26" s="127">
        <v>1350</v>
      </c>
      <c r="I26" s="127">
        <v>1400</v>
      </c>
    </row>
    <row r="27" spans="1:12" x14ac:dyDescent="0.25">
      <c r="A27" s="16" t="s">
        <v>72</v>
      </c>
      <c r="B27" s="25">
        <v>0</v>
      </c>
      <c r="C27" s="25">
        <v>0</v>
      </c>
      <c r="D27" s="25">
        <v>0</v>
      </c>
      <c r="E27" s="25">
        <v>0</v>
      </c>
      <c r="F27" s="25">
        <v>0</v>
      </c>
      <c r="G27" s="25">
        <v>0</v>
      </c>
      <c r="H27" s="127">
        <v>0</v>
      </c>
      <c r="I27" s="127">
        <v>0</v>
      </c>
    </row>
    <row r="28" spans="1:12" ht="13.95" customHeight="1" thickBot="1" x14ac:dyDescent="0.3">
      <c r="A28" s="16" t="s">
        <v>73</v>
      </c>
      <c r="B28" s="25">
        <v>0</v>
      </c>
      <c r="C28" s="25">
        <v>0</v>
      </c>
      <c r="D28" s="25">
        <v>0</v>
      </c>
      <c r="E28" s="25">
        <v>0</v>
      </c>
      <c r="F28" s="25">
        <v>0</v>
      </c>
      <c r="G28" s="25">
        <v>0</v>
      </c>
      <c r="H28" s="127">
        <v>0</v>
      </c>
      <c r="I28" s="127">
        <v>0</v>
      </c>
    </row>
    <row r="29" spans="1:12" x14ac:dyDescent="0.25">
      <c r="A29" s="17" t="s">
        <v>74</v>
      </c>
      <c r="B29" s="37">
        <v>97.254000000000005</v>
      </c>
      <c r="C29" s="37">
        <v>110.881</v>
      </c>
      <c r="D29" s="37">
        <v>105.042</v>
      </c>
      <c r="E29" s="37">
        <v>103.679</v>
      </c>
      <c r="F29" s="37">
        <v>74.587000000000003</v>
      </c>
      <c r="G29" s="37">
        <v>138.97800000000001</v>
      </c>
      <c r="H29" s="125">
        <v>145</v>
      </c>
      <c r="I29" s="125">
        <v>150</v>
      </c>
    </row>
    <row r="30" spans="1:12" x14ac:dyDescent="0.25">
      <c r="A30" s="17"/>
      <c r="B30" s="43">
        <v>708.71799999999996</v>
      </c>
      <c r="C30" s="43">
        <v>743.471</v>
      </c>
      <c r="D30" s="43">
        <v>797.09799999999996</v>
      </c>
      <c r="E30" s="43">
        <v>966.04100000000005</v>
      </c>
      <c r="F30" s="43">
        <v>1228.5989999999999</v>
      </c>
      <c r="G30" s="43">
        <v>1439.615</v>
      </c>
      <c r="H30" s="127">
        <v>1495</v>
      </c>
      <c r="I30" s="127">
        <v>1550</v>
      </c>
    </row>
    <row r="31" spans="1:12" x14ac:dyDescent="0.25">
      <c r="A31" s="16" t="s">
        <v>75</v>
      </c>
      <c r="B31" s="25">
        <v>1329.136</v>
      </c>
      <c r="C31" s="25">
        <v>1626.6489999999999</v>
      </c>
      <c r="D31" s="25">
        <v>2202.4319999999998</v>
      </c>
      <c r="E31" s="25">
        <v>2458.239</v>
      </c>
      <c r="F31" s="25">
        <v>2859.86</v>
      </c>
      <c r="G31" s="25">
        <v>3279.2449999999999</v>
      </c>
      <c r="H31" s="127">
        <v>3395</v>
      </c>
      <c r="I31" s="127">
        <v>3500</v>
      </c>
    </row>
    <row r="32" spans="1:12" x14ac:dyDescent="0.25">
      <c r="A32" s="16" t="s">
        <v>76</v>
      </c>
      <c r="B32" s="25">
        <v>0</v>
      </c>
      <c r="C32" s="25">
        <v>0</v>
      </c>
      <c r="D32" s="25">
        <v>0</v>
      </c>
      <c r="E32" s="25">
        <v>0</v>
      </c>
      <c r="F32" s="25">
        <v>0</v>
      </c>
      <c r="G32" s="25">
        <v>0</v>
      </c>
      <c r="H32" s="127">
        <v>0</v>
      </c>
      <c r="I32" s="127">
        <v>0</v>
      </c>
    </row>
    <row r="33" spans="1:12" x14ac:dyDescent="0.25">
      <c r="A33" s="16" t="s">
        <v>77</v>
      </c>
      <c r="B33" s="25">
        <v>1952.2180000000001</v>
      </c>
      <c r="C33" s="25">
        <v>2558.5659999999998</v>
      </c>
      <c r="D33" s="25">
        <v>2740.0459999999998</v>
      </c>
      <c r="E33" s="25">
        <v>3148.799</v>
      </c>
      <c r="F33" s="25">
        <v>4232.0810000000001</v>
      </c>
      <c r="G33" s="25">
        <v>4324.0469999999996</v>
      </c>
      <c r="H33" s="127">
        <v>4918</v>
      </c>
      <c r="I33" s="127">
        <v>5499</v>
      </c>
    </row>
    <row r="34" spans="1:12" ht="13.95" customHeight="1" thickBot="1" x14ac:dyDescent="0.3">
      <c r="A34" s="16" t="s">
        <v>78</v>
      </c>
      <c r="B34" s="25">
        <v>1952.2180000000001</v>
      </c>
      <c r="C34" s="25">
        <v>2558.5659999999998</v>
      </c>
      <c r="D34" s="25">
        <v>2740.0459999999998</v>
      </c>
      <c r="E34" s="25">
        <v>3148.799</v>
      </c>
      <c r="F34" s="25">
        <v>4232.0810000000001</v>
      </c>
      <c r="G34" s="25">
        <v>4324.0469999999996</v>
      </c>
      <c r="H34" s="127">
        <v>4918</v>
      </c>
      <c r="I34" s="127">
        <v>5499</v>
      </c>
    </row>
    <row r="35" spans="1:12" x14ac:dyDescent="0.25">
      <c r="A35" s="17" t="s">
        <v>79</v>
      </c>
      <c r="B35" s="37">
        <v>0</v>
      </c>
      <c r="C35" s="37">
        <v>0</v>
      </c>
      <c r="D35" s="37">
        <v>0</v>
      </c>
      <c r="E35" s="37">
        <v>0</v>
      </c>
      <c r="F35" s="37">
        <v>0</v>
      </c>
      <c r="G35" s="37">
        <v>0</v>
      </c>
      <c r="H35" s="125">
        <v>0</v>
      </c>
      <c r="I35" s="125">
        <v>0</v>
      </c>
    </row>
    <row r="36" spans="1:12" ht="13.95" customHeight="1" thickBot="1" x14ac:dyDescent="0.3">
      <c r="A36" s="17"/>
      <c r="B36" s="41">
        <v>1952.2180000000001</v>
      </c>
      <c r="C36" s="25">
        <v>2558.5659999999998</v>
      </c>
      <c r="D36" s="25">
        <v>2740.0459999999998</v>
      </c>
      <c r="E36" s="25">
        <v>3148.799</v>
      </c>
      <c r="F36" s="25">
        <v>4232.0810000000001</v>
      </c>
      <c r="G36" s="43">
        <v>4324.0469999999996</v>
      </c>
      <c r="H36" s="127">
        <v>4918</v>
      </c>
      <c r="I36" s="127">
        <v>5499</v>
      </c>
    </row>
    <row r="37" spans="1:12" x14ac:dyDescent="0.25">
      <c r="A37" s="17" t="s">
        <v>80</v>
      </c>
      <c r="B37" s="37">
        <f t="shared" ref="B37:I37" si="0">B31+B36</f>
        <v>3281.3540000000003</v>
      </c>
      <c r="C37" s="37">
        <f t="shared" si="0"/>
        <v>4185.2150000000001</v>
      </c>
      <c r="D37" s="37">
        <f t="shared" si="0"/>
        <v>4942.4779999999992</v>
      </c>
      <c r="E37" s="37">
        <f t="shared" si="0"/>
        <v>5607.0380000000005</v>
      </c>
      <c r="F37" s="37">
        <f t="shared" si="0"/>
        <v>7091.9410000000007</v>
      </c>
      <c r="G37" s="37">
        <f t="shared" si="0"/>
        <v>7603.2919999999995</v>
      </c>
      <c r="H37" s="125">
        <f t="shared" si="0"/>
        <v>8313</v>
      </c>
      <c r="I37" s="125">
        <f t="shared" si="0"/>
        <v>8999</v>
      </c>
    </row>
    <row r="38" spans="1:12" x14ac:dyDescent="0.25">
      <c r="A38" s="17"/>
      <c r="B38" s="43">
        <f t="shared" ref="B38:I38" si="1">B19-B37</f>
        <v>0</v>
      </c>
      <c r="C38" s="43">
        <f t="shared" si="1"/>
        <v>0</v>
      </c>
      <c r="D38" s="43">
        <f t="shared" si="1"/>
        <v>0</v>
      </c>
      <c r="E38" s="43">
        <f t="shared" si="1"/>
        <v>0</v>
      </c>
      <c r="F38" s="43">
        <f t="shared" si="1"/>
        <v>0</v>
      </c>
      <c r="G38" s="43">
        <f t="shared" si="1"/>
        <v>0</v>
      </c>
      <c r="H38" s="127">
        <f t="shared" si="1"/>
        <v>0</v>
      </c>
      <c r="I38" s="127">
        <f t="shared" si="1"/>
        <v>0</v>
      </c>
    </row>
    <row r="39" spans="1:12" x14ac:dyDescent="0.25">
      <c r="A39" s="16" t="s">
        <v>81</v>
      </c>
      <c r="B39" s="25">
        <v>6</v>
      </c>
      <c r="C39" s="25">
        <v>6</v>
      </c>
      <c r="D39" s="25">
        <v>6</v>
      </c>
      <c r="E39" s="25">
        <v>6</v>
      </c>
      <c r="F39" s="25">
        <v>6</v>
      </c>
      <c r="G39" s="25">
        <v>6</v>
      </c>
      <c r="H39" s="127">
        <f>G39</f>
        <v>6</v>
      </c>
      <c r="I39" s="127">
        <f>G39</f>
        <v>6</v>
      </c>
    </row>
    <row r="40" spans="1:12" ht="13.95" customHeight="1" thickBot="1" x14ac:dyDescent="0.3">
      <c r="A40" s="16" t="s">
        <v>82</v>
      </c>
      <c r="B40" s="25">
        <v>98268</v>
      </c>
      <c r="C40" s="25">
        <v>75822</v>
      </c>
      <c r="D40" s="25">
        <v>56024</v>
      </c>
      <c r="E40" s="25">
        <v>30975</v>
      </c>
      <c r="F40" s="25">
        <v>28310</v>
      </c>
      <c r="G40" s="25">
        <v>35546</v>
      </c>
      <c r="H40" s="127">
        <f>G40+IncomeStatement!H21+CashFlow!H35</f>
        <v>35896.638688524588</v>
      </c>
      <c r="I40" s="127">
        <f>H40+IncomeStatement!I21+CashFlow!I35</f>
        <v>36189.486065573772</v>
      </c>
    </row>
    <row r="41" spans="1:12" x14ac:dyDescent="0.25">
      <c r="A41" s="17" t="s">
        <v>83</v>
      </c>
      <c r="B41" s="37">
        <v>98274</v>
      </c>
      <c r="C41" s="37">
        <v>75828</v>
      </c>
      <c r="D41" s="37">
        <v>56030</v>
      </c>
      <c r="E41" s="37">
        <v>30981</v>
      </c>
      <c r="F41" s="37">
        <v>28316</v>
      </c>
      <c r="G41" s="37">
        <v>35552</v>
      </c>
      <c r="H41" s="125">
        <f>SUM(H39:H40)</f>
        <v>35902.638688524588</v>
      </c>
      <c r="I41" s="125">
        <f>SUM(I39:I40)</f>
        <v>36195.486065573772</v>
      </c>
    </row>
    <row r="42" spans="1:12" ht="13.95" customHeight="1" thickBot="1" x14ac:dyDescent="0.3">
      <c r="A42" s="16" t="s">
        <v>84</v>
      </c>
      <c r="B42" s="25">
        <v>4836</v>
      </c>
      <c r="C42" s="25">
        <v>4688</v>
      </c>
      <c r="D42" s="25">
        <v>20859</v>
      </c>
      <c r="E42" s="25">
        <v>20878</v>
      </c>
      <c r="F42" s="25">
        <v>1984</v>
      </c>
      <c r="G42" s="25">
        <v>2009</v>
      </c>
      <c r="H42" s="127">
        <f>G42</f>
        <v>2009</v>
      </c>
      <c r="I42" s="127">
        <f>G42</f>
        <v>2009</v>
      </c>
    </row>
    <row r="43" spans="1:12" x14ac:dyDescent="0.25">
      <c r="A43" s="17" t="s">
        <v>85</v>
      </c>
      <c r="B43" s="37">
        <v>103110</v>
      </c>
      <c r="C43" s="37">
        <v>80516</v>
      </c>
      <c r="D43" s="37">
        <v>76889</v>
      </c>
      <c r="E43" s="37">
        <v>51859</v>
      </c>
      <c r="F43" s="37">
        <v>30300</v>
      </c>
      <c r="G43" s="37">
        <v>37561</v>
      </c>
      <c r="H43" s="125">
        <f>H41+H42</f>
        <v>37911.638688524588</v>
      </c>
      <c r="I43" s="125">
        <f>I41+I42</f>
        <v>38204.486065573772</v>
      </c>
    </row>
    <row r="44" spans="1:12" ht="13.95" customHeight="1" thickBot="1" x14ac:dyDescent="0.3">
      <c r="A44" s="16"/>
      <c r="B44" s="25"/>
      <c r="C44" s="25"/>
      <c r="D44" s="25"/>
      <c r="E44" s="25"/>
      <c r="F44" s="25"/>
      <c r="G44" s="25"/>
      <c r="H44" s="127"/>
      <c r="I44" s="127"/>
    </row>
    <row r="45" spans="1:12" ht="13.95" customHeight="1" thickBot="1" x14ac:dyDescent="0.3">
      <c r="A45" s="17" t="s">
        <v>86</v>
      </c>
      <c r="B45" s="36">
        <v>515148</v>
      </c>
      <c r="C45" s="36">
        <v>389549</v>
      </c>
      <c r="D45" s="36">
        <v>382615</v>
      </c>
      <c r="E45" s="36">
        <v>319648</v>
      </c>
      <c r="F45" s="36">
        <v>266676</v>
      </c>
      <c r="G45" s="36">
        <v>255050</v>
      </c>
      <c r="H45" s="123">
        <f>H37+H43</f>
        <v>46224.638688524588</v>
      </c>
      <c r="I45" s="123">
        <f>I37+I43</f>
        <v>47203.486065573772</v>
      </c>
      <c r="L45" s="42"/>
    </row>
    <row r="46" spans="1:12" ht="13.95" customHeight="1" thickTop="1" x14ac:dyDescent="0.25"/>
    <row r="47" spans="1:12" x14ac:dyDescent="0.25">
      <c r="A47" s="15" t="s">
        <v>87</v>
      </c>
      <c r="B47" s="167">
        <f t="shared" ref="B47:I47" si="2">B22-B45</f>
        <v>-515068.00300000003</v>
      </c>
      <c r="C47" s="167">
        <f t="shared" si="2"/>
        <v>-389376.75400000002</v>
      </c>
      <c r="D47" s="167">
        <f t="shared" si="2"/>
        <v>-382325.272</v>
      </c>
      <c r="E47" s="167">
        <f t="shared" si="2"/>
        <v>-319475.26799999998</v>
      </c>
      <c r="F47" s="167">
        <f t="shared" si="2"/>
        <v>-266327.55900000001</v>
      </c>
      <c r="G47" s="167">
        <f t="shared" si="2"/>
        <v>-254778.59400000001</v>
      </c>
      <c r="H47" s="167">
        <f t="shared" si="2"/>
        <v>-45934.638688524588</v>
      </c>
      <c r="I47" s="167">
        <f t="shared" si="2"/>
        <v>-46898.486065573772</v>
      </c>
    </row>
    <row r="49" spans="1:12" x14ac:dyDescent="0.25">
      <c r="A49" s="13" t="s">
        <v>88</v>
      </c>
      <c r="B49" s="18"/>
      <c r="C49" s="124">
        <f>ROUND(365/(IncomeStatement!C5/AVERAGE(BalanceSheet!C7,BalanceSheet!B7)),0)</f>
        <v>110</v>
      </c>
      <c r="D49" s="124">
        <f>ROUND(365/(IncomeStatement!D5/AVERAGE(BalanceSheet!D7,BalanceSheet!C7)),0)</f>
        <v>111</v>
      </c>
      <c r="E49" s="124">
        <f>ROUND(365/(IncomeStatement!E5/AVERAGE(BalanceSheet!E7,BalanceSheet!D7)),0)</f>
        <v>122</v>
      </c>
      <c r="F49" s="124">
        <f>ROUND(365/(IncomeStatement!F5/AVERAGE(BalanceSheet!F7,BalanceSheet!E7)),0)</f>
        <v>126</v>
      </c>
      <c r="G49" s="124">
        <f>ROUND(365/(IncomeStatement!G5/AVERAGE(BalanceSheet!G7,BalanceSheet!F7)),0)</f>
        <v>117</v>
      </c>
      <c r="H49" s="124">
        <f>AVERAGE(C49:G49)</f>
        <v>117.2</v>
      </c>
      <c r="I49" s="124">
        <f>H49</f>
        <v>117.2</v>
      </c>
    </row>
    <row r="50" spans="1:12" x14ac:dyDescent="0.25">
      <c r="A50" s="13" t="s">
        <v>89</v>
      </c>
      <c r="B50" s="18"/>
      <c r="C50" s="111">
        <f>ROUND(365/((IncomeStatement!C6+IncomeStatement!C11)/AVERAGE(BalanceSheet!C8,BalanceSheet!B8)),0)</f>
        <v>23</v>
      </c>
      <c r="D50" s="111">
        <f>ROUND(365/((IncomeStatement!D6+IncomeStatement!D11)/AVERAGE(BalanceSheet!D8,BalanceSheet!C8)),0)</f>
        <v>21</v>
      </c>
      <c r="E50" s="111">
        <f>ROUND(365/((IncomeStatement!E6+IncomeStatement!E11)/AVERAGE(BalanceSheet!E8,BalanceSheet!D8)),0)</f>
        <v>23</v>
      </c>
      <c r="F50" s="111">
        <f>ROUND(365/((IncomeStatement!F6+IncomeStatement!F11)/AVERAGE(BalanceSheet!F8,BalanceSheet!E8)),0)</f>
        <v>19</v>
      </c>
      <c r="G50" s="111">
        <f>ROUND(365/((IncomeStatement!G6+IncomeStatement!G11)/AVERAGE(BalanceSheet!G8,BalanceSheet!F8)),0)</f>
        <v>17</v>
      </c>
      <c r="H50" s="124">
        <f>AVERAGE(C50:G50)</f>
        <v>20.6</v>
      </c>
      <c r="I50" s="124">
        <f>H50</f>
        <v>20.6</v>
      </c>
    </row>
    <row r="51" spans="1:12" x14ac:dyDescent="0.25">
      <c r="A51" s="13" t="s">
        <v>90</v>
      </c>
      <c r="B51" s="18"/>
      <c r="C51" s="111">
        <f>ROUND(365/(IncomeStatement!C6/AVERAGE(BalanceSheet!B26,BalanceSheet!C26)),0)</f>
        <v>92</v>
      </c>
      <c r="D51" s="111">
        <f>ROUND(365/(IncomeStatement!D6/AVERAGE(BalanceSheet!C26,BalanceSheet!D26)),0)</f>
        <v>67</v>
      </c>
      <c r="E51" s="111">
        <f>ROUND(365/(IncomeStatement!E6/AVERAGE(BalanceSheet!D26,BalanceSheet!E26)),0)</f>
        <v>63</v>
      </c>
      <c r="F51" s="111">
        <f>ROUND(365/(IncomeStatement!F6/AVERAGE(BalanceSheet!E26,BalanceSheet!F26)),0)</f>
        <v>66</v>
      </c>
      <c r="G51" s="111">
        <f>ROUND(365/(IncomeStatement!G6/AVERAGE(BalanceSheet!F26,BalanceSheet!G26)),0)</f>
        <v>71</v>
      </c>
      <c r="H51" s="124">
        <f>AVERAGE(C51:G51)</f>
        <v>71.8</v>
      </c>
      <c r="I51" s="124">
        <f>H51</f>
        <v>71.8</v>
      </c>
    </row>
    <row r="52" spans="1:12" x14ac:dyDescent="0.25">
      <c r="A52" s="18"/>
      <c r="B52" s="18"/>
    </row>
    <row r="53" spans="1:12" x14ac:dyDescent="0.25">
      <c r="A53" s="18"/>
      <c r="B53" s="18"/>
    </row>
    <row r="54" spans="1:12" ht="16.05" customHeight="1" x14ac:dyDescent="0.3">
      <c r="A54" s="112" t="s">
        <v>91</v>
      </c>
      <c r="B54" s="203" t="s">
        <v>37</v>
      </c>
      <c r="C54" s="202"/>
      <c r="D54" s="202"/>
      <c r="E54" s="202"/>
      <c r="F54" s="202"/>
      <c r="G54" s="202"/>
      <c r="H54" s="202"/>
      <c r="I54" s="202"/>
    </row>
    <row r="55" spans="1:12" x14ac:dyDescent="0.25">
      <c r="A55" s="15" t="s">
        <v>53</v>
      </c>
      <c r="B55" s="113"/>
    </row>
    <row r="56" spans="1:12" x14ac:dyDescent="0.25">
      <c r="A56" s="35" t="s">
        <v>54</v>
      </c>
      <c r="B56" s="113" t="s">
        <v>92</v>
      </c>
      <c r="C56" s="111"/>
      <c r="D56" s="111"/>
      <c r="E56" s="111"/>
      <c r="F56" s="111"/>
      <c r="G56" s="111"/>
      <c r="H56" s="111"/>
      <c r="I56" s="111"/>
      <c r="J56" s="111"/>
      <c r="K56" s="111"/>
      <c r="L56" s="111"/>
    </row>
    <row r="57" spans="1:12" x14ac:dyDescent="0.25">
      <c r="A57" s="35" t="s">
        <v>55</v>
      </c>
      <c r="B57" s="113" t="s">
        <v>93</v>
      </c>
      <c r="C57" s="111"/>
      <c r="D57" s="111"/>
      <c r="E57" s="111"/>
      <c r="F57" s="111"/>
      <c r="G57" s="111"/>
      <c r="H57" s="111"/>
      <c r="I57" s="111"/>
      <c r="J57" s="111"/>
      <c r="K57" s="111"/>
      <c r="L57" s="111"/>
    </row>
    <row r="58" spans="1:12" x14ac:dyDescent="0.25">
      <c r="A58" s="35" t="s">
        <v>56</v>
      </c>
      <c r="B58" s="113" t="s">
        <v>94</v>
      </c>
      <c r="C58" s="111"/>
      <c r="D58" s="111"/>
      <c r="E58" s="111"/>
      <c r="F58" s="111"/>
      <c r="G58" s="111"/>
      <c r="H58" s="111"/>
      <c r="I58" s="111"/>
      <c r="J58" s="111"/>
      <c r="K58" s="111"/>
      <c r="L58" s="111"/>
    </row>
    <row r="59" spans="1:12" x14ac:dyDescent="0.25">
      <c r="A59" s="35" t="s">
        <v>57</v>
      </c>
      <c r="B59" s="111" t="s">
        <v>44</v>
      </c>
      <c r="C59" s="111"/>
      <c r="D59" s="111"/>
      <c r="E59" s="111"/>
      <c r="F59" s="111"/>
      <c r="G59" s="111"/>
      <c r="H59" s="111"/>
      <c r="I59" s="111"/>
      <c r="J59" s="111"/>
      <c r="K59" s="111"/>
      <c r="L59" s="111"/>
    </row>
    <row r="60" spans="1:12" x14ac:dyDescent="0.25">
      <c r="A60" s="17" t="s">
        <v>58</v>
      </c>
      <c r="B60" s="110" t="s">
        <v>95</v>
      </c>
      <c r="C60" s="111"/>
      <c r="D60" s="111"/>
      <c r="E60" s="111"/>
      <c r="F60" s="111"/>
      <c r="G60" s="111"/>
      <c r="H60" s="111"/>
      <c r="I60" s="111"/>
      <c r="J60" s="111"/>
      <c r="K60" s="111"/>
      <c r="L60" s="111"/>
    </row>
    <row r="61" spans="1:12" x14ac:dyDescent="0.25">
      <c r="A61" s="17"/>
      <c r="B61" s="113"/>
      <c r="C61" s="111"/>
      <c r="D61" s="111"/>
      <c r="E61" s="111"/>
      <c r="F61" s="111"/>
      <c r="G61" s="111"/>
      <c r="H61" s="111"/>
      <c r="I61" s="111"/>
      <c r="J61" s="111"/>
      <c r="K61" s="111"/>
      <c r="L61" s="111"/>
    </row>
    <row r="62" spans="1:12" x14ac:dyDescent="0.25">
      <c r="A62" s="35" t="s">
        <v>59</v>
      </c>
      <c r="B62" s="111" t="s">
        <v>96</v>
      </c>
      <c r="C62" s="111"/>
      <c r="D62" s="111"/>
      <c r="E62" s="111"/>
      <c r="F62" s="111"/>
      <c r="G62" s="111"/>
      <c r="H62" s="111"/>
      <c r="I62" s="111"/>
      <c r="J62" s="111"/>
      <c r="K62" s="111"/>
      <c r="L62" s="111"/>
    </row>
    <row r="63" spans="1:12" x14ac:dyDescent="0.25">
      <c r="A63" s="35" t="s">
        <v>60</v>
      </c>
      <c r="B63" s="111" t="s">
        <v>97</v>
      </c>
      <c r="C63" s="111"/>
      <c r="D63" s="111"/>
      <c r="E63" s="111"/>
      <c r="F63" s="111"/>
      <c r="G63" s="111"/>
      <c r="H63" s="111"/>
      <c r="I63" s="111"/>
      <c r="J63" s="111"/>
      <c r="K63" s="111"/>
      <c r="L63" s="111"/>
    </row>
    <row r="64" spans="1:12" x14ac:dyDescent="0.25">
      <c r="A64" s="35" t="s">
        <v>61</v>
      </c>
      <c r="B64" s="111" t="s">
        <v>98</v>
      </c>
      <c r="C64" s="111"/>
      <c r="D64" s="111"/>
      <c r="E64" s="111"/>
      <c r="F64" s="111"/>
      <c r="G64" s="111"/>
      <c r="H64" s="111"/>
      <c r="I64" s="111"/>
      <c r="J64" s="111"/>
      <c r="K64" s="111"/>
      <c r="L64" s="111"/>
    </row>
    <row r="65" spans="1:12" x14ac:dyDescent="0.25">
      <c r="A65" s="35" t="s">
        <v>62</v>
      </c>
      <c r="B65" s="111" t="s">
        <v>44</v>
      </c>
      <c r="C65" s="111"/>
      <c r="D65" s="111"/>
      <c r="E65" s="111"/>
      <c r="F65" s="111"/>
      <c r="G65" s="111"/>
      <c r="H65" s="111"/>
      <c r="I65" s="111"/>
      <c r="J65" s="111"/>
      <c r="K65" s="111"/>
      <c r="L65" s="111"/>
    </row>
    <row r="66" spans="1:12" x14ac:dyDescent="0.25">
      <c r="A66" s="35" t="s">
        <v>63</v>
      </c>
      <c r="B66" s="111" t="s">
        <v>44</v>
      </c>
      <c r="C66" s="111"/>
      <c r="D66" s="111"/>
      <c r="E66" s="111"/>
      <c r="F66" s="111"/>
      <c r="G66" s="111"/>
      <c r="H66" s="111"/>
      <c r="I66" s="111"/>
      <c r="J66" s="111"/>
      <c r="K66" s="111"/>
      <c r="L66" s="111"/>
    </row>
    <row r="67" spans="1:12" x14ac:dyDescent="0.25">
      <c r="A67" s="35" t="s">
        <v>64</v>
      </c>
      <c r="B67" s="111" t="s">
        <v>44</v>
      </c>
      <c r="C67" s="111"/>
      <c r="D67" s="111"/>
      <c r="E67" s="111"/>
      <c r="F67" s="111"/>
      <c r="G67" s="111"/>
      <c r="H67" s="111"/>
      <c r="I67" s="111"/>
      <c r="J67" s="111"/>
      <c r="K67" s="111"/>
      <c r="L67" s="111"/>
    </row>
    <row r="68" spans="1:12" x14ac:dyDescent="0.25">
      <c r="A68" s="35" t="s">
        <v>65</v>
      </c>
      <c r="B68" s="111" t="s">
        <v>44</v>
      </c>
      <c r="C68" s="111"/>
      <c r="D68" s="111"/>
      <c r="E68" s="111"/>
      <c r="F68" s="111"/>
      <c r="G68" s="111"/>
      <c r="H68" s="111"/>
      <c r="I68" s="111"/>
      <c r="J68" s="111"/>
      <c r="K68" s="111"/>
      <c r="L68" s="111"/>
    </row>
    <row r="69" spans="1:12" x14ac:dyDescent="0.25">
      <c r="A69" s="35" t="s">
        <v>66</v>
      </c>
      <c r="B69" s="111" t="s">
        <v>44</v>
      </c>
      <c r="C69" s="111"/>
      <c r="D69" s="111"/>
      <c r="E69" s="111"/>
      <c r="F69" s="111"/>
      <c r="G69" s="111"/>
      <c r="H69" s="111"/>
      <c r="I69" s="111"/>
      <c r="J69" s="111"/>
      <c r="K69" s="111"/>
      <c r="L69" s="111"/>
    </row>
    <row r="70" spans="1:12" x14ac:dyDescent="0.25">
      <c r="A70" s="17" t="s">
        <v>67</v>
      </c>
      <c r="B70" s="207" t="s">
        <v>99</v>
      </c>
      <c r="C70" s="202"/>
      <c r="D70" s="202"/>
      <c r="E70" s="202"/>
      <c r="F70" s="202"/>
      <c r="G70" s="202"/>
      <c r="H70" s="202"/>
      <c r="I70" s="202"/>
      <c r="J70" s="202"/>
      <c r="K70" s="202"/>
      <c r="L70" s="202"/>
    </row>
    <row r="71" spans="1:12" x14ac:dyDescent="0.25">
      <c r="A71" s="17"/>
      <c r="B71" s="202"/>
      <c r="C71" s="202"/>
      <c r="D71" s="202"/>
      <c r="E71" s="202"/>
      <c r="F71" s="202"/>
      <c r="G71" s="202"/>
      <c r="H71" s="202"/>
      <c r="I71" s="202"/>
      <c r="J71" s="202"/>
      <c r="K71" s="202"/>
      <c r="L71" s="202"/>
    </row>
    <row r="72" spans="1:12" x14ac:dyDescent="0.25">
      <c r="A72" s="17" t="s">
        <v>68</v>
      </c>
      <c r="B72" s="110" t="s">
        <v>100</v>
      </c>
      <c r="C72" s="111"/>
      <c r="D72" s="111"/>
      <c r="E72" s="111"/>
      <c r="F72" s="111"/>
      <c r="G72" s="111"/>
      <c r="H72" s="111"/>
      <c r="I72" s="111"/>
      <c r="J72" s="111"/>
      <c r="K72" s="111"/>
      <c r="L72" s="111"/>
    </row>
    <row r="73" spans="1:12" x14ac:dyDescent="0.25">
      <c r="A73" s="114"/>
      <c r="B73" s="113"/>
      <c r="C73" s="111"/>
      <c r="D73" s="111"/>
      <c r="E73" s="111"/>
      <c r="F73" s="111"/>
      <c r="G73" s="111"/>
      <c r="H73" s="111"/>
      <c r="I73" s="111"/>
      <c r="J73" s="111"/>
      <c r="K73" s="111"/>
      <c r="L73" s="111"/>
    </row>
    <row r="74" spans="1:12" x14ac:dyDescent="0.25">
      <c r="A74" s="15" t="s">
        <v>69</v>
      </c>
      <c r="B74" s="113"/>
      <c r="C74" s="111"/>
      <c r="D74" s="111"/>
      <c r="E74" s="111"/>
      <c r="F74" s="111"/>
      <c r="G74" s="111"/>
      <c r="H74" s="111"/>
      <c r="I74" s="111"/>
      <c r="J74" s="111"/>
      <c r="K74" s="111"/>
      <c r="L74" s="111"/>
    </row>
    <row r="75" spans="1:12" x14ac:dyDescent="0.25">
      <c r="A75" s="35" t="s">
        <v>70</v>
      </c>
      <c r="B75" s="111" t="s">
        <v>101</v>
      </c>
      <c r="C75" s="111"/>
      <c r="D75" s="111"/>
      <c r="E75" s="111"/>
      <c r="F75" s="111"/>
      <c r="G75" s="111"/>
      <c r="H75" s="111"/>
      <c r="I75" s="111"/>
      <c r="J75" s="111"/>
      <c r="K75" s="111"/>
      <c r="L75" s="111"/>
    </row>
    <row r="76" spans="1:12" x14ac:dyDescent="0.25">
      <c r="A76" s="35" t="s">
        <v>71</v>
      </c>
      <c r="B76" s="113" t="s">
        <v>102</v>
      </c>
      <c r="C76" s="111"/>
      <c r="D76" s="111"/>
      <c r="E76" s="111"/>
      <c r="F76" s="111"/>
      <c r="G76" s="111"/>
      <c r="H76" s="111"/>
      <c r="I76" s="111"/>
      <c r="J76" s="111"/>
      <c r="K76" s="111"/>
      <c r="L76" s="111"/>
    </row>
    <row r="77" spans="1:12" x14ac:dyDescent="0.25">
      <c r="A77" s="35" t="s">
        <v>72</v>
      </c>
      <c r="B77" s="111" t="s">
        <v>44</v>
      </c>
      <c r="C77" s="111"/>
      <c r="D77" s="111"/>
      <c r="E77" s="111"/>
      <c r="F77" s="111"/>
      <c r="G77" s="111"/>
      <c r="H77" s="111"/>
      <c r="I77" s="111"/>
      <c r="J77" s="111"/>
      <c r="K77" s="111"/>
      <c r="L77" s="111"/>
    </row>
    <row r="78" spans="1:12" x14ac:dyDescent="0.25">
      <c r="A78" s="35" t="s">
        <v>73</v>
      </c>
      <c r="B78" s="111" t="s">
        <v>44</v>
      </c>
      <c r="C78" s="111"/>
      <c r="D78" s="111"/>
      <c r="E78" s="111"/>
      <c r="F78" s="111"/>
      <c r="G78" s="111"/>
      <c r="H78" s="111"/>
      <c r="I78" s="111"/>
      <c r="J78" s="111"/>
      <c r="K78" s="111"/>
      <c r="L78" s="111"/>
    </row>
    <row r="79" spans="1:12" x14ac:dyDescent="0.25">
      <c r="A79" s="17" t="s">
        <v>74</v>
      </c>
      <c r="B79" s="110" t="s">
        <v>103</v>
      </c>
      <c r="C79" s="111"/>
      <c r="D79" s="111"/>
      <c r="E79" s="111"/>
      <c r="F79" s="111"/>
      <c r="G79" s="111"/>
      <c r="H79" s="111"/>
      <c r="I79" s="111"/>
      <c r="J79" s="111"/>
      <c r="K79" s="111"/>
      <c r="L79" s="111"/>
    </row>
    <row r="80" spans="1:12" x14ac:dyDescent="0.25">
      <c r="A80" s="17"/>
      <c r="B80" s="113"/>
      <c r="C80" s="111"/>
      <c r="D80" s="111"/>
      <c r="E80" s="111"/>
      <c r="F80" s="111"/>
      <c r="G80" s="111"/>
      <c r="H80" s="111"/>
      <c r="I80" s="111"/>
      <c r="J80" s="111"/>
      <c r="K80" s="111"/>
      <c r="L80" s="111"/>
    </row>
    <row r="81" spans="1:12" x14ac:dyDescent="0.25">
      <c r="A81" s="35" t="s">
        <v>75</v>
      </c>
      <c r="B81" s="111" t="s">
        <v>104</v>
      </c>
      <c r="C81" s="111"/>
      <c r="D81" s="111"/>
      <c r="E81" s="111"/>
      <c r="F81" s="111"/>
      <c r="G81" s="111"/>
      <c r="H81" s="111"/>
      <c r="I81" s="111"/>
      <c r="J81" s="111"/>
      <c r="K81" s="111"/>
      <c r="L81" s="111"/>
    </row>
    <row r="82" spans="1:12" x14ac:dyDescent="0.25">
      <c r="A82" s="35" t="s">
        <v>76</v>
      </c>
      <c r="B82" s="111" t="s">
        <v>44</v>
      </c>
      <c r="C82" s="111"/>
      <c r="D82" s="111"/>
      <c r="E82" s="111"/>
      <c r="F82" s="111"/>
      <c r="G82" s="111"/>
      <c r="H82" s="111"/>
      <c r="I82" s="111"/>
      <c r="J82" s="111"/>
      <c r="K82" s="111"/>
      <c r="L82" s="111"/>
    </row>
    <row r="83" spans="1:12" x14ac:dyDescent="0.25">
      <c r="A83" s="35" t="s">
        <v>77</v>
      </c>
      <c r="B83" s="111" t="s">
        <v>44</v>
      </c>
      <c r="C83" s="111"/>
      <c r="D83" s="111"/>
      <c r="E83" s="111"/>
      <c r="F83" s="111"/>
      <c r="G83" s="111"/>
      <c r="H83" s="111"/>
      <c r="I83" s="111"/>
      <c r="J83" s="111"/>
      <c r="K83" s="111"/>
      <c r="L83" s="111"/>
    </row>
    <row r="84" spans="1:12" x14ac:dyDescent="0.25">
      <c r="A84" s="35" t="s">
        <v>78</v>
      </c>
      <c r="B84" s="111" t="s">
        <v>44</v>
      </c>
      <c r="C84" s="111"/>
      <c r="D84" s="111"/>
      <c r="E84" s="111"/>
      <c r="F84" s="111"/>
      <c r="G84" s="111"/>
      <c r="H84" s="111"/>
      <c r="I84" s="111"/>
      <c r="J84" s="111"/>
      <c r="K84" s="111"/>
      <c r="L84" s="111"/>
    </row>
    <row r="85" spans="1:12" x14ac:dyDescent="0.25">
      <c r="A85" s="17" t="s">
        <v>79</v>
      </c>
      <c r="B85" s="130" t="s">
        <v>105</v>
      </c>
      <c r="C85" s="111"/>
      <c r="D85" s="111"/>
      <c r="E85" s="111"/>
      <c r="F85" s="111"/>
      <c r="G85" s="111"/>
      <c r="H85" s="111"/>
      <c r="I85" s="111"/>
      <c r="J85" s="111"/>
      <c r="K85" s="111"/>
      <c r="L85" s="111"/>
    </row>
    <row r="86" spans="1:12" x14ac:dyDescent="0.25">
      <c r="A86" s="17"/>
      <c r="B86" s="113"/>
      <c r="C86" s="111"/>
      <c r="D86" s="111"/>
      <c r="E86" s="111"/>
      <c r="F86" s="111"/>
      <c r="G86" s="111"/>
      <c r="H86" s="111"/>
      <c r="I86" s="111"/>
      <c r="J86" s="111"/>
      <c r="K86" s="111"/>
      <c r="L86" s="111"/>
    </row>
    <row r="87" spans="1:12" x14ac:dyDescent="0.25">
      <c r="A87" s="17" t="s">
        <v>80</v>
      </c>
      <c r="B87" s="130" t="s">
        <v>106</v>
      </c>
      <c r="C87" s="111"/>
      <c r="D87" s="111"/>
      <c r="E87" s="111"/>
      <c r="F87" s="111"/>
      <c r="G87" s="111"/>
      <c r="H87" s="111"/>
      <c r="I87" s="111"/>
      <c r="J87" s="111"/>
      <c r="K87" s="111"/>
      <c r="L87" s="111"/>
    </row>
    <row r="88" spans="1:12" x14ac:dyDescent="0.25">
      <c r="A88" s="17"/>
      <c r="B88" s="111"/>
      <c r="C88" s="111"/>
      <c r="D88" s="111"/>
      <c r="E88" s="111"/>
      <c r="F88" s="111"/>
      <c r="G88" s="111"/>
      <c r="H88" s="111"/>
      <c r="I88" s="111"/>
      <c r="J88" s="111"/>
      <c r="K88" s="111"/>
      <c r="L88" s="111"/>
    </row>
    <row r="89" spans="1:12" x14ac:dyDescent="0.25">
      <c r="A89" s="35" t="s">
        <v>81</v>
      </c>
      <c r="B89" s="111" t="s">
        <v>44</v>
      </c>
      <c r="C89" s="111"/>
      <c r="D89" s="111"/>
      <c r="E89" s="111"/>
      <c r="F89" s="111"/>
      <c r="G89" s="111"/>
      <c r="H89" s="111"/>
      <c r="I89" s="111"/>
      <c r="J89" s="111"/>
      <c r="K89" s="111"/>
      <c r="L89" s="111"/>
    </row>
    <row r="90" spans="1:12" x14ac:dyDescent="0.25">
      <c r="A90" s="35" t="s">
        <v>82</v>
      </c>
      <c r="B90" s="206" t="s">
        <v>107</v>
      </c>
      <c r="C90" s="202"/>
      <c r="D90" s="202"/>
      <c r="E90" s="202"/>
      <c r="F90" s="202"/>
      <c r="G90" s="202"/>
      <c r="H90" s="202"/>
      <c r="I90" s="202"/>
      <c r="J90" s="202"/>
      <c r="K90" s="202"/>
      <c r="L90" s="202"/>
    </row>
    <row r="91" spans="1:12" x14ac:dyDescent="0.25">
      <c r="A91" s="35"/>
      <c r="B91" s="202"/>
      <c r="C91" s="202"/>
      <c r="D91" s="202"/>
      <c r="E91" s="202"/>
      <c r="F91" s="202"/>
      <c r="G91" s="202"/>
      <c r="H91" s="202"/>
      <c r="I91" s="202"/>
      <c r="J91" s="202"/>
      <c r="K91" s="202"/>
      <c r="L91" s="202"/>
    </row>
    <row r="92" spans="1:12" x14ac:dyDescent="0.25">
      <c r="A92" s="17" t="s">
        <v>83</v>
      </c>
      <c r="B92" s="113" t="s">
        <v>108</v>
      </c>
      <c r="C92" s="111"/>
      <c r="D92" s="111"/>
      <c r="E92" s="111"/>
      <c r="F92" s="111"/>
      <c r="G92" s="111"/>
      <c r="H92" s="111"/>
      <c r="I92" s="111"/>
      <c r="J92" s="111"/>
      <c r="K92" s="111"/>
      <c r="L92" s="111"/>
    </row>
    <row r="93" spans="1:12" x14ac:dyDescent="0.25">
      <c r="A93" s="35" t="s">
        <v>84</v>
      </c>
      <c r="B93" s="111" t="s">
        <v>44</v>
      </c>
      <c r="C93" s="111"/>
      <c r="D93" s="111"/>
      <c r="E93" s="111"/>
      <c r="F93" s="111"/>
      <c r="G93" s="111"/>
      <c r="H93" s="111"/>
      <c r="I93" s="111"/>
      <c r="J93" s="111"/>
      <c r="K93" s="111"/>
      <c r="L93" s="111"/>
    </row>
    <row r="94" spans="1:12" x14ac:dyDescent="0.25">
      <c r="A94" s="17" t="s">
        <v>85</v>
      </c>
      <c r="B94" s="113" t="s">
        <v>109</v>
      </c>
      <c r="C94" s="111"/>
      <c r="D94" s="111"/>
      <c r="E94" s="111"/>
      <c r="F94" s="111"/>
      <c r="G94" s="111"/>
      <c r="H94" s="111"/>
      <c r="I94" s="111"/>
      <c r="J94" s="111"/>
      <c r="K94" s="111"/>
      <c r="L94" s="111"/>
    </row>
    <row r="95" spans="1:12" x14ac:dyDescent="0.25">
      <c r="A95" s="35"/>
      <c r="B95" s="113"/>
      <c r="C95" s="111"/>
      <c r="D95" s="111"/>
      <c r="E95" s="111"/>
      <c r="F95" s="111"/>
      <c r="G95" s="111"/>
      <c r="H95" s="111"/>
      <c r="I95" s="111"/>
      <c r="J95" s="111"/>
      <c r="K95" s="111"/>
      <c r="L95" s="111"/>
    </row>
    <row r="96" spans="1:12" x14ac:dyDescent="0.25">
      <c r="A96" s="17" t="s">
        <v>86</v>
      </c>
      <c r="B96" s="130" t="s">
        <v>110</v>
      </c>
      <c r="C96" s="111"/>
      <c r="D96" s="111"/>
      <c r="E96" s="111"/>
      <c r="F96" s="111"/>
      <c r="G96" s="111"/>
      <c r="H96" s="111"/>
      <c r="I96" s="111"/>
      <c r="J96" s="111"/>
      <c r="K96" s="111"/>
      <c r="L96" s="111"/>
    </row>
    <row r="97" spans="1:2" x14ac:dyDescent="0.25">
      <c r="A97" s="22"/>
      <c r="B97" s="18"/>
    </row>
    <row r="98" spans="1:2" x14ac:dyDescent="0.25">
      <c r="A98" s="23"/>
      <c r="B98" s="18"/>
    </row>
    <row r="99" spans="1:2" x14ac:dyDescent="0.25">
      <c r="A99" s="22"/>
      <c r="B99" s="18"/>
    </row>
    <row r="100" spans="1:2" x14ac:dyDescent="0.25">
      <c r="A100" s="30" t="s">
        <v>88</v>
      </c>
      <c r="B100" s="18"/>
    </row>
    <row r="101" spans="1:2" x14ac:dyDescent="0.25">
      <c r="A101" s="30" t="s">
        <v>89</v>
      </c>
      <c r="B101" s="18"/>
    </row>
    <row r="102" spans="1:2" x14ac:dyDescent="0.25">
      <c r="A102" s="30" t="s">
        <v>90</v>
      </c>
      <c r="B102" s="18"/>
    </row>
    <row r="103" spans="1:2" x14ac:dyDescent="0.25">
      <c r="A103" s="18"/>
      <c r="B103" s="18"/>
    </row>
    <row r="105" spans="1:2" x14ac:dyDescent="0.25">
      <c r="A105" s="23"/>
    </row>
    <row r="106" spans="1:2" x14ac:dyDescent="0.25">
      <c r="A106" s="26"/>
      <c r="B106" s="27"/>
    </row>
    <row r="107" spans="1:2" x14ac:dyDescent="0.25">
      <c r="A107" s="26"/>
      <c r="B107" s="27"/>
    </row>
    <row r="108" spans="1:2" x14ac:dyDescent="0.25">
      <c r="A108" s="26"/>
      <c r="B108" s="27"/>
    </row>
  </sheetData>
  <mergeCells count="3">
    <mergeCell ref="B90:L91"/>
    <mergeCell ref="B70:L71"/>
    <mergeCell ref="B54:I54"/>
  </mergeCells>
  <conditionalFormatting sqref="B47:I47">
    <cfRule type="cellIs" dxfId="0" priority="1" operator="equal">
      <formula>0</formula>
    </cfRule>
  </conditionalFormatting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3" name="Button 4">
              <controlPr defaultSize="0" print="0" autoFill="0" autoPict="0" macro="[0]!myoutline">
                <anchor moveWithCells="1" sizeWithCells="1">
                  <from>
                    <xdr:col>10</xdr:col>
                    <xdr:colOff>129540</xdr:colOff>
                    <xdr:row>2</xdr:row>
                    <xdr:rowOff>76200</xdr:rowOff>
                  </from>
                  <to>
                    <xdr:col>13</xdr:col>
                    <xdr:colOff>83820</xdr:colOff>
                    <xdr:row>2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4" name="Button 5">
              <controlPr defaultSize="0" print="0" autoFill="0" autoPict="0" macro="[0]!IncomeStatement">
                <anchor moveWithCells="1" sizeWithCells="1">
                  <from>
                    <xdr:col>10</xdr:col>
                    <xdr:colOff>129540</xdr:colOff>
                    <xdr:row>2</xdr:row>
                    <xdr:rowOff>335280</xdr:rowOff>
                  </from>
                  <to>
                    <xdr:col>13</xdr:col>
                    <xdr:colOff>83820</xdr:colOff>
                    <xdr:row>3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Cashflow">
                <anchor moveWithCells="1" sizeWithCells="1">
                  <from>
                    <xdr:col>10</xdr:col>
                    <xdr:colOff>137160</xdr:colOff>
                    <xdr:row>4</xdr:row>
                    <xdr:rowOff>76200</xdr:rowOff>
                  </from>
                  <to>
                    <xdr:col>13</xdr:col>
                    <xdr:colOff>91440</xdr:colOff>
                    <xdr:row>6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V84"/>
  <sheetViews>
    <sheetView showGridLines="0" tabSelected="1" workbookViewId="0"/>
  </sheetViews>
  <sheetFormatPr defaultColWidth="8.77734375" defaultRowHeight="13.2" x14ac:dyDescent="0.25"/>
  <cols>
    <col min="1" max="1" width="54" bestFit="1" customWidth="1"/>
    <col min="2" max="2" width="0.6640625" customWidth="1"/>
    <col min="3" max="9" width="10.6640625" customWidth="1"/>
  </cols>
  <sheetData>
    <row r="1" spans="1:11" ht="18" customHeight="1" x14ac:dyDescent="0.3">
      <c r="A1" s="156" t="s">
        <v>6</v>
      </c>
      <c r="B1" s="6"/>
    </row>
    <row r="2" spans="1:11" x14ac:dyDescent="0.25">
      <c r="A2" s="7" t="s">
        <v>111</v>
      </c>
      <c r="B2" s="7"/>
    </row>
    <row r="3" spans="1:11" ht="55.5" customHeight="1" x14ac:dyDescent="0.25">
      <c r="C3" s="141" t="s">
        <v>8</v>
      </c>
      <c r="D3" s="141" t="s">
        <v>9</v>
      </c>
      <c r="E3" s="141" t="s">
        <v>10</v>
      </c>
      <c r="F3" s="141" t="s">
        <v>11</v>
      </c>
      <c r="G3" s="141" t="s">
        <v>12</v>
      </c>
      <c r="H3" s="143" t="s">
        <v>13</v>
      </c>
      <c r="I3" s="143" t="s">
        <v>14</v>
      </c>
    </row>
    <row r="5" spans="1:11" x14ac:dyDescent="0.25">
      <c r="A5" s="24" t="s">
        <v>112</v>
      </c>
      <c r="B5" s="24"/>
      <c r="C5" s="24">
        <v>588.91300000000001</v>
      </c>
      <c r="D5" s="24">
        <v>975.322</v>
      </c>
      <c r="E5" s="24">
        <v>854.8</v>
      </c>
      <c r="F5" s="24">
        <v>1550.19</v>
      </c>
      <c r="G5" s="24">
        <v>1814.616</v>
      </c>
      <c r="H5" s="24">
        <v>1554.16</v>
      </c>
      <c r="I5" s="24">
        <v>1463.32</v>
      </c>
      <c r="J5" s="24"/>
      <c r="K5" s="24"/>
    </row>
    <row r="6" spans="1:11" x14ac:dyDescent="0.25">
      <c r="A6" s="16" t="s">
        <v>29</v>
      </c>
      <c r="B6" s="147"/>
      <c r="C6" s="25">
        <v>185.47800000000001</v>
      </c>
      <c r="D6" s="25">
        <v>224.20599999999999</v>
      </c>
      <c r="E6" s="25">
        <v>291.791</v>
      </c>
      <c r="F6" s="25">
        <v>379.38400000000001</v>
      </c>
      <c r="G6" s="25">
        <v>446.524</v>
      </c>
      <c r="H6" s="127">
        <v>501.42</v>
      </c>
      <c r="I6" s="127">
        <v>548.97</v>
      </c>
    </row>
    <row r="7" spans="1:11" x14ac:dyDescent="0.25">
      <c r="A7" s="16" t="s">
        <v>113</v>
      </c>
      <c r="B7" s="147"/>
      <c r="C7" s="25">
        <v>0</v>
      </c>
      <c r="D7" s="25">
        <v>0</v>
      </c>
      <c r="E7" s="25">
        <v>0</v>
      </c>
      <c r="F7" s="25">
        <v>0</v>
      </c>
      <c r="G7" s="25">
        <v>0</v>
      </c>
      <c r="H7" s="127">
        <v>0</v>
      </c>
      <c r="I7" s="127">
        <v>0</v>
      </c>
    </row>
    <row r="8" spans="1:11" x14ac:dyDescent="0.25">
      <c r="A8" s="16" t="s">
        <v>114</v>
      </c>
      <c r="B8" s="147"/>
      <c r="C8" s="25">
        <v>51.488999999999997</v>
      </c>
      <c r="D8" s="25">
        <v>86.46</v>
      </c>
      <c r="E8" s="25">
        <v>401.32600000000002</v>
      </c>
      <c r="F8" s="25">
        <v>163.852</v>
      </c>
      <c r="G8" s="25">
        <v>16.251999999999999</v>
      </c>
      <c r="H8" s="127">
        <v>50</v>
      </c>
      <c r="I8" s="127">
        <v>50</v>
      </c>
    </row>
    <row r="9" spans="1:11" ht="13.95" customHeight="1" thickBot="1" x14ac:dyDescent="0.3">
      <c r="A9" s="16" t="s">
        <v>115</v>
      </c>
      <c r="B9" s="147"/>
      <c r="C9" s="25">
        <v>825.88</v>
      </c>
      <c r="D9" s="25">
        <v>1285.9880000000001</v>
      </c>
      <c r="E9" s="25">
        <v>1547.9169999999999</v>
      </c>
      <c r="F9" s="25">
        <v>2093.4259999999999</v>
      </c>
      <c r="G9" s="25">
        <v>2277.3919999999998</v>
      </c>
      <c r="H9" s="127">
        <v>2105.58</v>
      </c>
      <c r="I9" s="127">
        <v>2062.29</v>
      </c>
    </row>
    <row r="10" spans="1:11" x14ac:dyDescent="0.25">
      <c r="A10" s="17" t="s">
        <v>116</v>
      </c>
      <c r="B10" s="148"/>
      <c r="C10" s="37">
        <v>-22.18</v>
      </c>
      <c r="D10" s="37">
        <v>-14.602</v>
      </c>
      <c r="E10" s="37">
        <v>-55.905000000000001</v>
      </c>
      <c r="F10" s="37">
        <v>8.1370000000000005</v>
      </c>
      <c r="G10" s="37">
        <v>4.5960000000000001</v>
      </c>
      <c r="H10" s="125">
        <v>-4.83</v>
      </c>
      <c r="I10" s="125">
        <v>-5</v>
      </c>
      <c r="J10" s="43"/>
      <c r="K10" s="43"/>
    </row>
    <row r="11" spans="1:11" x14ac:dyDescent="0.25">
      <c r="C11" s="25">
        <v>-128.71700000000001</v>
      </c>
      <c r="D11" s="25">
        <v>-319.25099999999998</v>
      </c>
      <c r="E11" s="25">
        <v>-480.88600000000002</v>
      </c>
      <c r="F11" s="25">
        <v>123.765</v>
      </c>
      <c r="G11" s="25">
        <v>-118.479</v>
      </c>
      <c r="H11" s="127">
        <v>-57.92</v>
      </c>
      <c r="I11" s="127">
        <v>-50</v>
      </c>
    </row>
    <row r="12" spans="1:11" x14ac:dyDescent="0.25">
      <c r="A12" s="16" t="s">
        <v>117</v>
      </c>
      <c r="B12" s="147"/>
      <c r="C12" s="25">
        <v>92.248999999999995</v>
      </c>
      <c r="D12" s="25">
        <v>117.482</v>
      </c>
      <c r="E12" s="25">
        <v>-116.996</v>
      </c>
      <c r="F12" s="25">
        <v>175.709</v>
      </c>
      <c r="G12" s="25">
        <v>-77.034999999999997</v>
      </c>
      <c r="H12" s="127">
        <v>18.59</v>
      </c>
      <c r="I12" s="127">
        <v>15</v>
      </c>
    </row>
    <row r="13" spans="1:11" x14ac:dyDescent="0.25">
      <c r="A13" s="16" t="s">
        <v>118</v>
      </c>
      <c r="B13" s="147"/>
      <c r="C13" s="25">
        <v>0</v>
      </c>
      <c r="D13" s="25">
        <v>0</v>
      </c>
      <c r="E13" s="25">
        <v>0</v>
      </c>
      <c r="F13" s="25">
        <v>0</v>
      </c>
      <c r="G13" s="25">
        <v>0</v>
      </c>
      <c r="H13" s="127">
        <v>0</v>
      </c>
      <c r="I13" s="127">
        <v>0</v>
      </c>
    </row>
    <row r="14" spans="1:11" x14ac:dyDescent="0.25">
      <c r="A14" s="16" t="s">
        <v>119</v>
      </c>
      <c r="B14" s="147"/>
      <c r="C14" s="25">
        <v>-22.544</v>
      </c>
      <c r="D14" s="25">
        <v>103.12</v>
      </c>
      <c r="E14" s="25">
        <v>-581.45399999999995</v>
      </c>
      <c r="F14" s="25">
        <v>202.738</v>
      </c>
      <c r="G14" s="25">
        <v>-4.6790000000000003</v>
      </c>
      <c r="H14" s="127">
        <v>-84.22</v>
      </c>
      <c r="I14" s="127">
        <v>-70</v>
      </c>
    </row>
    <row r="15" spans="1:11" ht="13.95" customHeight="1" thickBot="1" x14ac:dyDescent="0.3">
      <c r="A15" s="16" t="s">
        <v>120</v>
      </c>
      <c r="B15" s="147"/>
      <c r="C15" s="25">
        <v>803.33600000000001</v>
      </c>
      <c r="D15" s="25">
        <v>1389.1079999999999</v>
      </c>
      <c r="E15" s="25">
        <v>966.46299999999997</v>
      </c>
      <c r="F15" s="25">
        <v>2296.1640000000002</v>
      </c>
      <c r="G15" s="25">
        <v>2272.7130000000002</v>
      </c>
      <c r="H15" s="127">
        <v>2021.36</v>
      </c>
      <c r="I15" s="127">
        <v>1992.29</v>
      </c>
    </row>
    <row r="16" spans="1:11" x14ac:dyDescent="0.25">
      <c r="A16" s="16" t="s">
        <v>121</v>
      </c>
      <c r="B16" s="147"/>
      <c r="C16" s="37">
        <v>-9497</v>
      </c>
      <c r="D16" s="37">
        <v>10808</v>
      </c>
      <c r="E16" s="37">
        <v>1496</v>
      </c>
      <c r="F16" s="37">
        <v>2533</v>
      </c>
      <c r="G16" s="37">
        <v>2666</v>
      </c>
      <c r="H16" s="125">
        <f>SUM(H12:H14)</f>
        <v>-65.63</v>
      </c>
      <c r="I16" s="125">
        <f>SUM(I12:I14)</f>
        <v>-55</v>
      </c>
      <c r="J16" s="19"/>
      <c r="K16" s="19"/>
    </row>
    <row r="17" spans="1:17" ht="13.95" customHeight="1" thickBot="1" x14ac:dyDescent="0.3">
      <c r="C17" s="25">
        <v>-229.226</v>
      </c>
      <c r="D17" s="25">
        <v>-394.50200000000001</v>
      </c>
      <c r="E17" s="25">
        <v>-638.65700000000004</v>
      </c>
      <c r="F17" s="25">
        <v>-651.86500000000001</v>
      </c>
      <c r="G17" s="25">
        <v>-689.23199999999997</v>
      </c>
      <c r="H17" s="127">
        <v>-720</v>
      </c>
      <c r="I17" s="127">
        <v>-750</v>
      </c>
    </row>
    <row r="18" spans="1:17" x14ac:dyDescent="0.25">
      <c r="A18" s="17" t="s">
        <v>122</v>
      </c>
      <c r="B18" s="148"/>
      <c r="C18" s="37">
        <v>0</v>
      </c>
      <c r="D18" s="37">
        <v>0</v>
      </c>
      <c r="E18" s="37">
        <v>0</v>
      </c>
      <c r="F18" s="37">
        <v>0</v>
      </c>
      <c r="G18" s="37">
        <v>0</v>
      </c>
      <c r="H18" s="125">
        <v>0</v>
      </c>
      <c r="I18" s="125">
        <v>0</v>
      </c>
    </row>
    <row r="19" spans="1:17" x14ac:dyDescent="0.25">
      <c r="C19" s="25">
        <v>0</v>
      </c>
      <c r="D19" s="25">
        <v>0</v>
      </c>
      <c r="E19" s="25">
        <v>0</v>
      </c>
      <c r="F19" s="25">
        <v>0</v>
      </c>
      <c r="G19" s="25">
        <v>0</v>
      </c>
      <c r="H19" s="127">
        <v>0</v>
      </c>
      <c r="I19" s="127">
        <v>0</v>
      </c>
    </row>
    <row r="20" spans="1:17" x14ac:dyDescent="0.25">
      <c r="A20" s="24" t="s">
        <v>123</v>
      </c>
      <c r="B20" s="24"/>
      <c r="C20" s="40">
        <v>0</v>
      </c>
      <c r="D20" s="40">
        <v>0</v>
      </c>
      <c r="E20" s="40">
        <v>0</v>
      </c>
      <c r="F20" s="40">
        <v>0</v>
      </c>
      <c r="G20" s="40">
        <v>0</v>
      </c>
      <c r="H20" s="126">
        <v>0</v>
      </c>
      <c r="I20" s="126">
        <v>0</v>
      </c>
      <c r="J20" s="24"/>
      <c r="K20" s="24"/>
      <c r="L20" s="24"/>
    </row>
    <row r="21" spans="1:17" x14ac:dyDescent="0.25">
      <c r="A21" s="35" t="s">
        <v>124</v>
      </c>
      <c r="B21" s="149"/>
      <c r="C21" s="25">
        <v>-466.30599999999998</v>
      </c>
      <c r="D21" s="25">
        <v>-33.389000000000003</v>
      </c>
      <c r="E21" s="25">
        <v>68.72</v>
      </c>
      <c r="F21" s="25">
        <v>-2.2669999999999999</v>
      </c>
      <c r="G21" s="25">
        <v>-108.94199999999999</v>
      </c>
      <c r="H21" s="127">
        <v>-50</v>
      </c>
      <c r="I21" s="127">
        <v>-50</v>
      </c>
    </row>
    <row r="22" spans="1:17" x14ac:dyDescent="0.25">
      <c r="A22" s="16" t="s">
        <v>125</v>
      </c>
      <c r="B22" s="147"/>
      <c r="C22" s="25">
        <v>-695.53200000000004</v>
      </c>
      <c r="D22" s="25">
        <v>-427.89100000000002</v>
      </c>
      <c r="E22" s="25">
        <v>-569.93700000000001</v>
      </c>
      <c r="F22" s="25">
        <v>-654.13199999999995</v>
      </c>
      <c r="G22" s="25">
        <v>-798.17399999999998</v>
      </c>
      <c r="H22" s="127">
        <v>-770</v>
      </c>
      <c r="I22" s="127">
        <v>-800</v>
      </c>
    </row>
    <row r="23" spans="1:17" x14ac:dyDescent="0.25">
      <c r="A23" s="16" t="s">
        <v>126</v>
      </c>
      <c r="B23" s="147"/>
      <c r="C23" s="25">
        <v>69671</v>
      </c>
      <c r="D23" s="25">
        <v>10438</v>
      </c>
      <c r="E23" s="25">
        <v>12547</v>
      </c>
      <c r="F23" s="25">
        <v>17648</v>
      </c>
      <c r="G23" s="25">
        <v>22657</v>
      </c>
      <c r="H23" s="127">
        <v>0</v>
      </c>
      <c r="I23" s="127">
        <v>0</v>
      </c>
    </row>
    <row r="24" spans="1:17" x14ac:dyDescent="0.25">
      <c r="A24" s="16" t="s">
        <v>127</v>
      </c>
      <c r="B24" s="147"/>
      <c r="C24" s="25">
        <v>0</v>
      </c>
      <c r="D24" s="25">
        <v>0</v>
      </c>
      <c r="E24" s="25">
        <v>0</v>
      </c>
      <c r="F24" s="25">
        <v>0</v>
      </c>
      <c r="G24" s="25">
        <v>0</v>
      </c>
      <c r="H24" s="127">
        <v>0</v>
      </c>
      <c r="I24" s="127">
        <v>0</v>
      </c>
    </row>
    <row r="25" spans="1:17" ht="13.95" customHeight="1" thickBot="1" x14ac:dyDescent="0.3">
      <c r="A25" s="16" t="s">
        <v>115</v>
      </c>
      <c r="B25" s="147"/>
      <c r="C25" s="25">
        <v>0</v>
      </c>
      <c r="D25" s="25">
        <v>0</v>
      </c>
      <c r="E25" s="25">
        <v>0</v>
      </c>
      <c r="F25" s="25">
        <v>0</v>
      </c>
      <c r="G25" s="25">
        <v>0</v>
      </c>
      <c r="H25" s="127">
        <v>0</v>
      </c>
      <c r="I25" s="127">
        <v>0</v>
      </c>
      <c r="Q25" s="33"/>
    </row>
    <row r="26" spans="1:17" x14ac:dyDescent="0.25">
      <c r="A26" s="17" t="s">
        <v>128</v>
      </c>
      <c r="B26" s="148"/>
      <c r="C26" s="37">
        <v>0</v>
      </c>
      <c r="D26" s="37">
        <v>0</v>
      </c>
      <c r="E26" s="37">
        <v>0</v>
      </c>
      <c r="F26" s="37">
        <v>0</v>
      </c>
      <c r="G26" s="37">
        <v>0</v>
      </c>
      <c r="H26" s="125">
        <v>0</v>
      </c>
      <c r="I26" s="125">
        <v>0</v>
      </c>
      <c r="J26" s="43"/>
      <c r="K26" s="43"/>
      <c r="Q26" s="33"/>
    </row>
    <row r="27" spans="1:17" x14ac:dyDescent="0.25">
      <c r="C27" s="25">
        <v>0</v>
      </c>
      <c r="D27" s="25">
        <v>0</v>
      </c>
      <c r="E27" s="25">
        <v>0</v>
      </c>
      <c r="F27" s="25">
        <v>0</v>
      </c>
      <c r="G27" s="25">
        <v>0</v>
      </c>
      <c r="H27" s="127">
        <v>0</v>
      </c>
      <c r="I27" s="127">
        <v>0</v>
      </c>
    </row>
    <row r="28" spans="1:17" x14ac:dyDescent="0.25">
      <c r="A28" s="24" t="s">
        <v>129</v>
      </c>
      <c r="B28" s="24"/>
      <c r="C28" s="40">
        <v>0</v>
      </c>
      <c r="D28" s="40">
        <v>0</v>
      </c>
      <c r="E28" s="40">
        <v>0</v>
      </c>
      <c r="F28" s="40">
        <v>0</v>
      </c>
      <c r="G28" s="40">
        <v>0</v>
      </c>
      <c r="H28" s="126">
        <v>0</v>
      </c>
      <c r="I28" s="126">
        <v>0</v>
      </c>
      <c r="J28" s="24"/>
      <c r="K28" s="24"/>
      <c r="L28" s="24"/>
    </row>
    <row r="29" spans="1:17" x14ac:dyDescent="0.25">
      <c r="A29" s="16" t="s">
        <v>130</v>
      </c>
      <c r="B29" s="147"/>
      <c r="C29" s="25">
        <v>0</v>
      </c>
      <c r="D29" s="25">
        <v>0</v>
      </c>
      <c r="E29" s="25">
        <v>0</v>
      </c>
      <c r="F29" s="25">
        <v>0</v>
      </c>
      <c r="G29" s="25">
        <v>0</v>
      </c>
      <c r="H29" s="127">
        <v>0</v>
      </c>
      <c r="I29" s="127">
        <v>0</v>
      </c>
      <c r="J29" s="24"/>
      <c r="K29" s="24"/>
      <c r="L29" s="24"/>
    </row>
    <row r="30" spans="1:17" ht="13.95" customHeight="1" thickBot="1" x14ac:dyDescent="0.3">
      <c r="A30" s="16" t="s">
        <v>131</v>
      </c>
      <c r="B30" s="147"/>
      <c r="C30" s="25">
        <v>-80.787999999999997</v>
      </c>
      <c r="D30" s="25">
        <v>-844.21699999999998</v>
      </c>
      <c r="E30" s="25">
        <v>-467.45499999999998</v>
      </c>
      <c r="F30" s="25">
        <v>-548.79600000000005</v>
      </c>
      <c r="G30" s="25">
        <v>-1652.4760000000001</v>
      </c>
      <c r="H30" s="127">
        <v>-800</v>
      </c>
      <c r="I30" s="127">
        <v>-800</v>
      </c>
      <c r="J30" s="24"/>
      <c r="K30" s="24"/>
      <c r="L30" s="24"/>
    </row>
    <row r="31" spans="1:17" x14ac:dyDescent="0.25">
      <c r="A31" s="16" t="s">
        <v>132</v>
      </c>
      <c r="B31" s="147"/>
      <c r="C31" s="37">
        <v>29.995999999999999</v>
      </c>
      <c r="D31" s="37">
        <v>-7.6459999999999999</v>
      </c>
      <c r="E31" s="37">
        <v>-34.075000000000003</v>
      </c>
      <c r="F31" s="37">
        <v>-4.1319999999999997</v>
      </c>
      <c r="G31" s="37">
        <v>-81.697999999999993</v>
      </c>
      <c r="H31" s="125">
        <v>-50</v>
      </c>
      <c r="I31" s="125">
        <v>-50</v>
      </c>
    </row>
    <row r="32" spans="1:17" x14ac:dyDescent="0.25">
      <c r="A32" s="16"/>
      <c r="B32" s="147"/>
      <c r="C32" s="43">
        <v>-50.792000000000002</v>
      </c>
      <c r="D32" s="43">
        <v>-851.86300000000006</v>
      </c>
      <c r="E32" s="43">
        <v>-501.53</v>
      </c>
      <c r="F32" s="43">
        <v>-552.928</v>
      </c>
      <c r="G32" s="43">
        <v>-1734.174</v>
      </c>
      <c r="H32" s="127">
        <v>-850</v>
      </c>
      <c r="I32" s="127">
        <v>-850</v>
      </c>
    </row>
    <row r="33" spans="1:22" x14ac:dyDescent="0.25">
      <c r="A33" s="16" t="s">
        <v>30</v>
      </c>
      <c r="B33" s="147"/>
      <c r="C33" s="43">
        <v>57.012</v>
      </c>
      <c r="D33" s="43">
        <v>109.354</v>
      </c>
      <c r="E33" s="43">
        <v>-105.004</v>
      </c>
      <c r="F33" s="43">
        <v>1089.104</v>
      </c>
      <c r="G33" s="43">
        <v>-259.63499999999999</v>
      </c>
      <c r="H33" s="127">
        <v>401.36</v>
      </c>
      <c r="I33" s="127">
        <v>342.29</v>
      </c>
    </row>
    <row r="34" spans="1:22" ht="13.95" customHeight="1" thickBot="1" x14ac:dyDescent="0.3">
      <c r="A34" s="35" t="s">
        <v>133</v>
      </c>
      <c r="B34" s="149"/>
      <c r="C34" s="43">
        <v>-8150</v>
      </c>
      <c r="D34" s="43">
        <v>-8214</v>
      </c>
      <c r="E34" s="43">
        <v>-4026</v>
      </c>
      <c r="F34" s="43">
        <v>-189</v>
      </c>
      <c r="G34" s="43">
        <v>-174</v>
      </c>
      <c r="H34" s="127">
        <f>($G$34/IncomeStatement!$G$21)*IncomeStatement!H21</f>
        <v>-169.72131147540983</v>
      </c>
      <c r="I34" s="127">
        <f>($G$34/IncomeStatement!$G$21)*IncomeStatement!I21</f>
        <v>-165.44262295081967</v>
      </c>
    </row>
    <row r="35" spans="1:22" x14ac:dyDescent="0.25">
      <c r="A35" s="16" t="s">
        <v>134</v>
      </c>
      <c r="B35" s="147"/>
      <c r="C35" s="37">
        <v>-8806</v>
      </c>
      <c r="D35" s="37">
        <v>-8650</v>
      </c>
      <c r="E35" s="37">
        <v>-4474</v>
      </c>
      <c r="F35" s="37">
        <v>-649</v>
      </c>
      <c r="G35" s="37">
        <v>-648</v>
      </c>
      <c r="H35" s="125">
        <f>SUM(H33:H34)</f>
        <v>231.63868852459018</v>
      </c>
      <c r="I35" s="125">
        <f>SUM(I33:I34)</f>
        <v>176.84737704918035</v>
      </c>
    </row>
    <row r="36" spans="1:22" x14ac:dyDescent="0.25">
      <c r="A36" s="16"/>
      <c r="B36" s="147"/>
      <c r="C36" s="43"/>
      <c r="D36" s="43"/>
      <c r="E36" s="43"/>
      <c r="F36" s="43"/>
      <c r="G36" s="43"/>
      <c r="H36" s="127"/>
      <c r="I36" s="127"/>
    </row>
    <row r="37" spans="1:22" x14ac:dyDescent="0.25">
      <c r="A37" s="16" t="s">
        <v>135</v>
      </c>
      <c r="B37" s="147"/>
      <c r="C37" s="25">
        <v>-21429</v>
      </c>
      <c r="D37" s="25">
        <v>-2550</v>
      </c>
      <c r="E37" s="25">
        <v>-17</v>
      </c>
      <c r="F37" s="25">
        <v>0</v>
      </c>
      <c r="G37" s="25">
        <v>0</v>
      </c>
      <c r="H37" s="127">
        <v>0</v>
      </c>
      <c r="I37" s="127">
        <v>0</v>
      </c>
    </row>
    <row r="38" spans="1:22" ht="13.95" customHeight="1" thickBot="1" x14ac:dyDescent="0.3">
      <c r="A38" s="16" t="s">
        <v>115</v>
      </c>
      <c r="B38" s="147"/>
      <c r="C38" s="25">
        <v>-485</v>
      </c>
      <c r="D38" s="25">
        <v>1006</v>
      </c>
      <c r="E38" s="25">
        <v>-5774</v>
      </c>
      <c r="F38" s="25">
        <v>-1382</v>
      </c>
      <c r="G38" s="25">
        <v>-188</v>
      </c>
      <c r="H38" s="127">
        <v>0</v>
      </c>
      <c r="I38" s="127">
        <v>0</v>
      </c>
    </row>
    <row r="39" spans="1:22" x14ac:dyDescent="0.25">
      <c r="A39" s="17" t="s">
        <v>136</v>
      </c>
      <c r="B39" s="148"/>
      <c r="C39" s="37">
        <v>-89131</v>
      </c>
      <c r="D39" s="37">
        <v>-19146</v>
      </c>
      <c r="E39" s="37">
        <v>-31807</v>
      </c>
      <c r="F39" s="37">
        <v>-16133</v>
      </c>
      <c r="G39" s="37">
        <v>-19852</v>
      </c>
      <c r="H39" s="125">
        <f>H31+H35+H37+H38</f>
        <v>181.63868852459018</v>
      </c>
      <c r="I39" s="125">
        <f>I31+I35+I37+I38</f>
        <v>126.84737704918035</v>
      </c>
      <c r="J39" s="43"/>
      <c r="K39" s="43"/>
    </row>
    <row r="40" spans="1:22" ht="13.95" customHeight="1" thickBot="1" x14ac:dyDescent="0.3">
      <c r="C40" s="25"/>
      <c r="D40" s="25"/>
      <c r="E40" s="25"/>
      <c r="F40" s="25"/>
      <c r="G40" s="25"/>
      <c r="H40" s="127"/>
      <c r="I40" s="127"/>
    </row>
    <row r="41" spans="1:22" s="24" customFormat="1" ht="13.95" customHeight="1" thickBot="1" x14ac:dyDescent="0.3">
      <c r="A41" s="24" t="s">
        <v>137</v>
      </c>
      <c r="C41" s="36">
        <v>-40173</v>
      </c>
      <c r="D41" s="36">
        <v>-6550</v>
      </c>
      <c r="E41" s="36">
        <v>-8549</v>
      </c>
      <c r="F41" s="36">
        <v>1578</v>
      </c>
      <c r="G41" s="36">
        <v>387</v>
      </c>
      <c r="H41" s="123">
        <f>H39+H26+H18</f>
        <v>181.63868852459018</v>
      </c>
      <c r="I41" s="123">
        <f>I39+I26+I18</f>
        <v>126.84737704918035</v>
      </c>
    </row>
    <row r="42" spans="1:22" ht="13.95" customHeight="1" thickTop="1" x14ac:dyDescent="0.25">
      <c r="A42" s="33"/>
      <c r="B42" s="33"/>
    </row>
    <row r="43" spans="1:22" ht="16.05" customHeight="1" x14ac:dyDescent="0.3">
      <c r="A43" s="112" t="s">
        <v>138</v>
      </c>
      <c r="B43" s="112"/>
      <c r="C43" s="203" t="s">
        <v>37</v>
      </c>
      <c r="D43" s="202"/>
      <c r="E43" s="202"/>
      <c r="F43" s="202"/>
      <c r="G43" s="202"/>
      <c r="H43" s="202"/>
      <c r="I43" s="202"/>
      <c r="J43" s="202"/>
    </row>
    <row r="44" spans="1:22" x14ac:dyDescent="0.25">
      <c r="A44" s="24" t="s">
        <v>112</v>
      </c>
      <c r="B44" s="24"/>
      <c r="C44" s="115"/>
      <c r="D44" s="115"/>
      <c r="E44" s="115"/>
      <c r="F44" s="115"/>
      <c r="G44" s="115"/>
      <c r="H44" s="115"/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5"/>
      <c r="U44" s="115"/>
      <c r="V44" s="115"/>
    </row>
    <row r="45" spans="1:22" x14ac:dyDescent="0.25">
      <c r="A45" s="16" t="s">
        <v>29</v>
      </c>
      <c r="B45" s="147"/>
      <c r="C45" s="111" t="s">
        <v>139</v>
      </c>
      <c r="D45" s="111"/>
      <c r="E45" s="111"/>
      <c r="F45" s="111"/>
      <c r="G45" s="111"/>
      <c r="H45" s="111"/>
      <c r="I45" s="111"/>
      <c r="J45" s="111"/>
      <c r="K45" s="111"/>
      <c r="L45" s="111"/>
      <c r="M45" s="111"/>
      <c r="N45" s="115"/>
      <c r="O45" s="115"/>
      <c r="P45" s="115"/>
      <c r="Q45" s="115"/>
      <c r="R45" s="115"/>
      <c r="S45" s="115"/>
      <c r="T45" s="115"/>
      <c r="U45" s="115"/>
      <c r="V45" s="115"/>
    </row>
    <row r="46" spans="1:22" x14ac:dyDescent="0.25">
      <c r="A46" s="16" t="s">
        <v>113</v>
      </c>
      <c r="B46" s="147"/>
      <c r="C46" s="111" t="s">
        <v>140</v>
      </c>
      <c r="D46" s="111"/>
      <c r="E46" s="111"/>
      <c r="F46" s="111"/>
      <c r="G46" s="111"/>
      <c r="H46" s="111"/>
      <c r="I46" s="111"/>
      <c r="J46" s="111"/>
      <c r="K46" s="111"/>
      <c r="L46" s="111"/>
      <c r="M46" s="111"/>
      <c r="N46" s="115"/>
      <c r="O46" s="115"/>
      <c r="P46" s="115"/>
      <c r="Q46" s="115"/>
      <c r="R46" s="115"/>
      <c r="S46" s="115"/>
      <c r="T46" s="115"/>
      <c r="U46" s="115"/>
      <c r="V46" s="115"/>
    </row>
    <row r="47" spans="1:22" x14ac:dyDescent="0.25">
      <c r="A47" s="16" t="s">
        <v>114</v>
      </c>
      <c r="B47" s="147"/>
      <c r="C47" s="111" t="s">
        <v>141</v>
      </c>
      <c r="D47" s="111"/>
      <c r="E47" s="111"/>
      <c r="F47" s="111"/>
      <c r="G47" s="111"/>
      <c r="H47" s="111"/>
      <c r="I47" s="111"/>
      <c r="J47" s="111"/>
      <c r="K47" s="111"/>
      <c r="L47" s="111"/>
      <c r="M47" s="111"/>
      <c r="N47" s="115"/>
      <c r="O47" s="115"/>
      <c r="P47" s="115"/>
      <c r="Q47" s="115"/>
      <c r="R47" s="115"/>
      <c r="S47" s="115"/>
      <c r="T47" s="115"/>
      <c r="U47" s="115"/>
      <c r="V47" s="115"/>
    </row>
    <row r="48" spans="1:22" x14ac:dyDescent="0.25">
      <c r="A48" s="16" t="s">
        <v>115</v>
      </c>
      <c r="B48" s="147"/>
      <c r="C48" s="111" t="s">
        <v>141</v>
      </c>
      <c r="D48" s="111"/>
      <c r="E48" s="111"/>
      <c r="F48" s="111"/>
      <c r="G48" s="111"/>
      <c r="H48" s="111"/>
      <c r="I48" s="111"/>
      <c r="J48" s="111"/>
      <c r="K48" s="111"/>
      <c r="L48" s="111"/>
      <c r="M48" s="111"/>
      <c r="N48" s="115"/>
      <c r="O48" s="115"/>
      <c r="P48" s="115"/>
      <c r="Q48" s="115"/>
      <c r="R48" s="115"/>
      <c r="S48" s="115"/>
      <c r="T48" s="115"/>
      <c r="U48" s="115"/>
      <c r="V48" s="115"/>
    </row>
    <row r="49" spans="1:22" x14ac:dyDescent="0.25">
      <c r="A49" s="17" t="s">
        <v>116</v>
      </c>
      <c r="B49" s="148"/>
      <c r="C49" s="110" t="s">
        <v>142</v>
      </c>
      <c r="D49" s="111"/>
      <c r="E49" s="111"/>
      <c r="F49" s="111"/>
      <c r="G49" s="111"/>
      <c r="H49" s="111"/>
      <c r="I49" s="111"/>
      <c r="J49" s="111"/>
      <c r="K49" s="111"/>
      <c r="L49" s="111"/>
      <c r="M49" s="111"/>
      <c r="N49" s="115"/>
      <c r="O49" s="115"/>
      <c r="P49" s="115"/>
      <c r="Q49" s="115"/>
      <c r="R49" s="115"/>
      <c r="S49" s="115"/>
      <c r="T49" s="115"/>
      <c r="U49" s="115"/>
      <c r="V49" s="115"/>
    </row>
    <row r="50" spans="1:22" x14ac:dyDescent="0.25">
      <c r="A50" s="115"/>
      <c r="B50" s="115"/>
      <c r="C50" s="111"/>
      <c r="D50" s="111"/>
      <c r="E50" s="111"/>
      <c r="F50" s="111"/>
      <c r="G50" s="111"/>
      <c r="H50" s="111"/>
      <c r="I50" s="111"/>
      <c r="J50" s="111"/>
      <c r="K50" s="111"/>
      <c r="L50" s="111"/>
      <c r="M50" s="111"/>
      <c r="N50" s="115"/>
      <c r="O50" s="115"/>
      <c r="P50" s="115"/>
      <c r="Q50" s="115"/>
      <c r="R50" s="115"/>
      <c r="S50" s="115"/>
      <c r="T50" s="115"/>
      <c r="U50" s="115"/>
      <c r="V50" s="115"/>
    </row>
    <row r="51" spans="1:22" x14ac:dyDescent="0.25">
      <c r="A51" s="16" t="s">
        <v>117</v>
      </c>
      <c r="B51" s="147"/>
      <c r="C51" s="111" t="s">
        <v>143</v>
      </c>
      <c r="D51" s="111"/>
      <c r="E51" s="111"/>
      <c r="F51" s="111"/>
      <c r="G51" s="111"/>
      <c r="H51" s="111"/>
      <c r="I51" s="111"/>
      <c r="J51" s="111"/>
      <c r="K51" s="111"/>
      <c r="L51" s="111"/>
      <c r="M51" s="111"/>
      <c r="N51" s="115"/>
      <c r="O51" s="115"/>
      <c r="P51" s="115"/>
      <c r="Q51" s="115"/>
      <c r="R51" s="115"/>
      <c r="S51" s="115"/>
      <c r="T51" s="115"/>
      <c r="U51" s="115"/>
      <c r="V51" s="115"/>
    </row>
    <row r="52" spans="1:22" x14ac:dyDescent="0.25">
      <c r="A52" s="16" t="s">
        <v>118</v>
      </c>
      <c r="B52" s="147"/>
      <c r="C52" s="111" t="s">
        <v>144</v>
      </c>
      <c r="D52" s="111"/>
      <c r="E52" s="111"/>
      <c r="F52" s="111"/>
      <c r="G52" s="111"/>
      <c r="H52" s="111"/>
      <c r="I52" s="111"/>
      <c r="J52" s="111"/>
      <c r="K52" s="111"/>
      <c r="L52" s="111"/>
      <c r="M52" s="111"/>
      <c r="N52" s="115"/>
      <c r="O52" s="115"/>
      <c r="P52" s="115"/>
      <c r="Q52" s="115"/>
      <c r="R52" s="115"/>
      <c r="S52" s="115"/>
      <c r="T52" s="115"/>
      <c r="U52" s="115"/>
      <c r="V52" s="115"/>
    </row>
    <row r="53" spans="1:22" x14ac:dyDescent="0.25">
      <c r="A53" s="16" t="s">
        <v>119</v>
      </c>
      <c r="B53" s="147"/>
      <c r="C53" s="111" t="s">
        <v>145</v>
      </c>
      <c r="D53" s="111"/>
      <c r="E53" s="111"/>
      <c r="F53" s="111"/>
      <c r="G53" s="111"/>
      <c r="H53" s="111"/>
      <c r="I53" s="111"/>
      <c r="J53" s="111"/>
      <c r="K53" s="111"/>
      <c r="L53" s="111"/>
      <c r="M53" s="111"/>
      <c r="N53" s="115"/>
      <c r="O53" s="115"/>
      <c r="P53" s="115"/>
      <c r="Q53" s="115"/>
      <c r="R53" s="115"/>
      <c r="S53" s="115"/>
      <c r="T53" s="115"/>
      <c r="U53" s="115"/>
      <c r="V53" s="115"/>
    </row>
    <row r="54" spans="1:22" x14ac:dyDescent="0.25">
      <c r="A54" s="16" t="s">
        <v>121</v>
      </c>
      <c r="B54" s="147"/>
      <c r="C54" s="111" t="s">
        <v>146</v>
      </c>
      <c r="D54" s="111"/>
      <c r="E54" s="111"/>
      <c r="F54" s="111"/>
      <c r="G54" s="111"/>
      <c r="H54" s="111"/>
      <c r="I54" s="111"/>
      <c r="J54" s="111"/>
      <c r="K54" s="111"/>
      <c r="L54" s="111"/>
      <c r="M54" s="111"/>
      <c r="N54" s="115"/>
      <c r="O54" s="115"/>
      <c r="P54" s="115"/>
      <c r="Q54" s="115"/>
      <c r="R54" s="115"/>
      <c r="S54" s="115"/>
      <c r="T54" s="115"/>
      <c r="U54" s="115"/>
      <c r="V54" s="115"/>
    </row>
    <row r="55" spans="1:22" x14ac:dyDescent="0.25">
      <c r="A55" s="115"/>
      <c r="B55" s="115"/>
      <c r="C55" s="111"/>
      <c r="D55" s="111"/>
      <c r="E55" s="111"/>
      <c r="F55" s="111"/>
      <c r="G55" s="111"/>
      <c r="H55" s="111"/>
      <c r="I55" s="111"/>
      <c r="J55" s="111"/>
      <c r="K55" s="111"/>
      <c r="L55" s="111"/>
      <c r="M55" s="111"/>
      <c r="N55" s="115"/>
      <c r="O55" s="115"/>
      <c r="P55" s="115"/>
      <c r="Q55" s="115"/>
      <c r="R55" s="115"/>
      <c r="S55" s="115"/>
      <c r="T55" s="115"/>
      <c r="U55" s="115"/>
      <c r="V55" s="115"/>
    </row>
    <row r="56" spans="1:22" x14ac:dyDescent="0.25">
      <c r="A56" s="17" t="s">
        <v>122</v>
      </c>
      <c r="B56" s="148"/>
      <c r="C56" s="110" t="s">
        <v>147</v>
      </c>
      <c r="D56" s="111"/>
      <c r="E56" s="111"/>
      <c r="F56" s="111"/>
      <c r="G56" s="111"/>
      <c r="H56" s="111"/>
      <c r="I56" s="111"/>
      <c r="J56" s="111"/>
      <c r="K56" s="111"/>
      <c r="L56" s="111"/>
      <c r="M56" s="111"/>
      <c r="N56" s="115"/>
      <c r="O56" s="115"/>
      <c r="P56" s="115"/>
      <c r="Q56" s="115"/>
      <c r="R56" s="115"/>
      <c r="S56" s="115"/>
      <c r="T56" s="115"/>
      <c r="U56" s="115"/>
      <c r="V56" s="115"/>
    </row>
    <row r="57" spans="1:22" x14ac:dyDescent="0.25">
      <c r="A57" s="115"/>
      <c r="B57" s="115"/>
      <c r="C57" s="111"/>
      <c r="D57" s="111"/>
      <c r="E57" s="111"/>
      <c r="F57" s="111"/>
      <c r="G57" s="111"/>
      <c r="H57" s="111"/>
      <c r="I57" s="111"/>
      <c r="J57" s="111"/>
      <c r="K57" s="111"/>
      <c r="L57" s="111"/>
      <c r="M57" s="111"/>
      <c r="N57" s="115"/>
      <c r="O57" s="115"/>
      <c r="P57" s="115"/>
      <c r="Q57" s="115"/>
      <c r="R57" s="115"/>
      <c r="S57" s="115"/>
      <c r="T57" s="115"/>
      <c r="U57" s="115"/>
      <c r="V57" s="115"/>
    </row>
    <row r="58" spans="1:22" x14ac:dyDescent="0.25">
      <c r="A58" s="24" t="s">
        <v>123</v>
      </c>
      <c r="B58" s="24"/>
      <c r="C58" s="111"/>
      <c r="D58" s="111"/>
      <c r="E58" s="111"/>
      <c r="F58" s="111"/>
      <c r="G58" s="111"/>
      <c r="H58" s="111"/>
      <c r="I58" s="111"/>
      <c r="J58" s="111"/>
      <c r="K58" s="111"/>
      <c r="L58" s="111"/>
      <c r="M58" s="111"/>
      <c r="N58" s="115"/>
      <c r="O58" s="115"/>
      <c r="P58" s="115"/>
      <c r="Q58" s="115"/>
      <c r="R58" s="115"/>
      <c r="S58" s="115"/>
      <c r="T58" s="115"/>
      <c r="U58" s="115"/>
      <c r="V58" s="115"/>
    </row>
    <row r="59" spans="1:22" x14ac:dyDescent="0.25">
      <c r="A59" s="16" t="s">
        <v>124</v>
      </c>
      <c r="B59" s="147"/>
      <c r="C59" s="111" t="s">
        <v>39</v>
      </c>
      <c r="D59" s="111"/>
      <c r="E59" s="111"/>
      <c r="F59" s="111"/>
      <c r="G59" s="111"/>
      <c r="H59" s="111"/>
      <c r="I59" s="111"/>
      <c r="J59" s="111"/>
      <c r="K59" s="111"/>
      <c r="L59" s="111"/>
      <c r="M59" s="111"/>
      <c r="N59" s="115"/>
      <c r="O59" s="115"/>
      <c r="P59" s="115"/>
      <c r="Q59" s="115"/>
      <c r="R59" s="115"/>
      <c r="S59" s="115"/>
      <c r="T59" s="115"/>
      <c r="U59" s="115"/>
      <c r="V59" s="115"/>
    </row>
    <row r="60" spans="1:22" x14ac:dyDescent="0.25">
      <c r="A60" s="16" t="s">
        <v>125</v>
      </c>
      <c r="B60" s="147"/>
      <c r="C60" s="111" t="s">
        <v>45</v>
      </c>
      <c r="D60" s="111"/>
      <c r="E60" s="111"/>
      <c r="F60" s="111"/>
      <c r="G60" s="111"/>
      <c r="H60" s="111"/>
      <c r="I60" s="111"/>
      <c r="J60" s="111"/>
      <c r="K60" s="111"/>
      <c r="L60" s="111"/>
      <c r="M60" s="111"/>
      <c r="N60" s="115"/>
      <c r="O60" s="115"/>
      <c r="P60" s="115"/>
      <c r="Q60" s="115"/>
      <c r="R60" s="115"/>
      <c r="S60" s="115"/>
      <c r="T60" s="115"/>
      <c r="U60" s="115"/>
      <c r="V60" s="115"/>
    </row>
    <row r="61" spans="1:22" x14ac:dyDescent="0.25">
      <c r="A61" s="16" t="s">
        <v>126</v>
      </c>
      <c r="B61" s="147"/>
      <c r="C61" s="111" t="s">
        <v>45</v>
      </c>
      <c r="D61" s="111"/>
      <c r="E61" s="111"/>
      <c r="F61" s="111"/>
      <c r="G61" s="111"/>
      <c r="H61" s="111"/>
      <c r="I61" s="111"/>
      <c r="J61" s="111"/>
      <c r="K61" s="111"/>
      <c r="L61" s="111"/>
      <c r="M61" s="111"/>
      <c r="N61" s="115"/>
      <c r="O61" s="115"/>
      <c r="P61" s="115"/>
      <c r="Q61" s="115"/>
      <c r="R61" s="115"/>
      <c r="S61" s="115"/>
      <c r="T61" s="115"/>
      <c r="U61" s="115"/>
      <c r="V61" s="115"/>
    </row>
    <row r="62" spans="1:22" x14ac:dyDescent="0.25">
      <c r="A62" s="16" t="s">
        <v>127</v>
      </c>
      <c r="B62" s="147"/>
      <c r="C62" s="111" t="s">
        <v>45</v>
      </c>
      <c r="D62" s="111"/>
      <c r="E62" s="111"/>
      <c r="F62" s="111"/>
      <c r="G62" s="111"/>
      <c r="H62" s="111"/>
      <c r="I62" s="111"/>
      <c r="J62" s="111"/>
      <c r="K62" s="111"/>
      <c r="L62" s="111"/>
      <c r="M62" s="111"/>
      <c r="N62" s="115"/>
      <c r="O62" s="115"/>
      <c r="P62" s="115"/>
      <c r="Q62" s="115"/>
      <c r="R62" s="115"/>
      <c r="S62" s="115"/>
      <c r="T62" s="115"/>
      <c r="U62" s="115"/>
      <c r="V62" s="115"/>
    </row>
    <row r="63" spans="1:22" x14ac:dyDescent="0.25">
      <c r="A63" s="16" t="s">
        <v>115</v>
      </c>
      <c r="B63" s="147"/>
      <c r="C63" s="111" t="s">
        <v>45</v>
      </c>
      <c r="D63" s="111"/>
      <c r="E63" s="111"/>
      <c r="F63" s="111"/>
      <c r="G63" s="111"/>
      <c r="H63" s="111"/>
      <c r="I63" s="111"/>
      <c r="J63" s="111"/>
      <c r="K63" s="111"/>
      <c r="L63" s="111"/>
      <c r="M63" s="111"/>
      <c r="N63" s="115"/>
      <c r="O63" s="115"/>
      <c r="P63" s="115"/>
      <c r="Q63" s="115"/>
      <c r="R63" s="115"/>
      <c r="S63" s="115"/>
      <c r="T63" s="115"/>
      <c r="U63" s="115"/>
      <c r="V63" s="115"/>
    </row>
    <row r="64" spans="1:22" x14ac:dyDescent="0.25">
      <c r="A64" s="17" t="s">
        <v>128</v>
      </c>
      <c r="B64" s="148"/>
      <c r="C64" s="208" t="s">
        <v>148</v>
      </c>
      <c r="D64" s="202"/>
      <c r="E64" s="202"/>
      <c r="F64" s="202"/>
      <c r="G64" s="202"/>
      <c r="H64" s="202"/>
      <c r="I64" s="202"/>
      <c r="J64" s="202"/>
      <c r="K64" s="202"/>
      <c r="L64" s="202"/>
      <c r="M64" s="202"/>
      <c r="N64" s="115"/>
      <c r="O64" s="115"/>
      <c r="P64" s="115"/>
      <c r="Q64" s="115"/>
      <c r="R64" s="115"/>
      <c r="S64" s="115"/>
      <c r="T64" s="115"/>
      <c r="U64" s="115"/>
      <c r="V64" s="115"/>
    </row>
    <row r="65" spans="1:22" x14ac:dyDescent="0.25">
      <c r="A65" s="115"/>
      <c r="B65" s="115"/>
      <c r="C65" s="202"/>
      <c r="D65" s="202"/>
      <c r="E65" s="202"/>
      <c r="F65" s="202"/>
      <c r="G65" s="202"/>
      <c r="H65" s="202"/>
      <c r="I65" s="202"/>
      <c r="J65" s="202"/>
      <c r="K65" s="202"/>
      <c r="L65" s="202"/>
      <c r="M65" s="202"/>
      <c r="N65" s="115"/>
      <c r="O65" s="115"/>
      <c r="P65" s="115"/>
      <c r="Q65" s="115"/>
      <c r="R65" s="115"/>
      <c r="S65" s="115"/>
      <c r="T65" s="115"/>
      <c r="U65" s="115"/>
      <c r="V65" s="115"/>
    </row>
    <row r="66" spans="1:22" x14ac:dyDescent="0.25">
      <c r="A66" s="24" t="s">
        <v>129</v>
      </c>
      <c r="B66" s="24"/>
      <c r="C66" s="111"/>
      <c r="D66" s="111"/>
      <c r="E66" s="111"/>
      <c r="F66" s="111"/>
      <c r="G66" s="111"/>
      <c r="H66" s="111"/>
      <c r="I66" s="111"/>
      <c r="J66" s="111"/>
      <c r="K66" s="111"/>
      <c r="L66" s="111"/>
      <c r="M66" s="111"/>
      <c r="N66" s="115"/>
      <c r="O66" s="115"/>
      <c r="P66" s="115"/>
      <c r="Q66" s="115"/>
      <c r="R66" s="115"/>
      <c r="S66" s="115"/>
      <c r="T66" s="115"/>
      <c r="U66" s="115"/>
      <c r="V66" s="115"/>
    </row>
    <row r="67" spans="1:22" x14ac:dyDescent="0.25">
      <c r="A67" s="16" t="s">
        <v>130</v>
      </c>
      <c r="B67" s="147"/>
      <c r="C67" s="111" t="s">
        <v>45</v>
      </c>
      <c r="D67" s="111"/>
      <c r="E67" s="111"/>
      <c r="F67" s="111"/>
      <c r="G67" s="111"/>
      <c r="H67" s="111"/>
      <c r="I67" s="111"/>
      <c r="J67" s="111"/>
      <c r="K67" s="111"/>
      <c r="L67" s="111"/>
      <c r="M67" s="111"/>
      <c r="N67" s="115"/>
      <c r="O67" s="115"/>
      <c r="P67" s="115"/>
      <c r="Q67" s="115"/>
      <c r="R67" s="115"/>
      <c r="S67" s="115"/>
      <c r="T67" s="115"/>
      <c r="U67" s="115"/>
      <c r="V67" s="115"/>
    </row>
    <row r="68" spans="1:22" x14ac:dyDescent="0.25">
      <c r="A68" s="16" t="s">
        <v>131</v>
      </c>
      <c r="B68" s="147"/>
      <c r="C68" s="111" t="s">
        <v>45</v>
      </c>
      <c r="D68" s="111"/>
      <c r="E68" s="111"/>
      <c r="F68" s="111"/>
      <c r="G68" s="111"/>
      <c r="H68" s="111"/>
      <c r="I68" s="111"/>
      <c r="J68" s="111"/>
      <c r="K68" s="111"/>
      <c r="L68" s="111"/>
      <c r="M68" s="111"/>
      <c r="N68" s="115"/>
      <c r="O68" s="115"/>
      <c r="P68" s="115"/>
      <c r="Q68" s="115"/>
      <c r="R68" s="115"/>
      <c r="S68" s="115"/>
      <c r="T68" s="115"/>
      <c r="U68" s="115"/>
      <c r="V68" s="115"/>
    </row>
    <row r="69" spans="1:22" x14ac:dyDescent="0.25">
      <c r="A69" s="16" t="s">
        <v>132</v>
      </c>
      <c r="B69" s="147"/>
      <c r="C69" s="111" t="s">
        <v>149</v>
      </c>
      <c r="D69" s="111"/>
      <c r="E69" s="111"/>
      <c r="F69" s="111"/>
      <c r="G69" s="111"/>
      <c r="H69" s="111"/>
      <c r="I69" s="111"/>
      <c r="J69" s="111"/>
      <c r="K69" s="111"/>
      <c r="L69" s="111"/>
      <c r="M69" s="111"/>
      <c r="N69" s="115"/>
      <c r="O69" s="115"/>
      <c r="P69" s="115"/>
      <c r="Q69" s="115"/>
      <c r="R69" s="115"/>
      <c r="S69" s="115"/>
      <c r="T69" s="115"/>
      <c r="U69" s="115"/>
      <c r="V69" s="115"/>
    </row>
    <row r="70" spans="1:22" x14ac:dyDescent="0.25">
      <c r="A70" s="16"/>
      <c r="B70" s="147"/>
      <c r="C70" s="111"/>
      <c r="D70" s="111"/>
      <c r="E70" s="111"/>
      <c r="F70" s="111"/>
      <c r="G70" s="111"/>
      <c r="H70" s="111"/>
      <c r="I70" s="111"/>
      <c r="J70" s="111"/>
      <c r="K70" s="111"/>
      <c r="L70" s="111"/>
      <c r="M70" s="111"/>
      <c r="N70" s="115"/>
      <c r="O70" s="115"/>
      <c r="P70" s="115"/>
      <c r="Q70" s="115"/>
      <c r="R70" s="115"/>
      <c r="S70" s="115"/>
      <c r="T70" s="115"/>
      <c r="U70" s="115"/>
      <c r="V70" s="115"/>
    </row>
    <row r="71" spans="1:22" x14ac:dyDescent="0.25">
      <c r="A71" s="16" t="s">
        <v>30</v>
      </c>
      <c r="B71" s="147"/>
      <c r="C71" s="111" t="s">
        <v>150</v>
      </c>
      <c r="D71" s="111"/>
      <c r="E71" s="111"/>
      <c r="F71" s="111"/>
      <c r="G71" s="111"/>
      <c r="H71" s="111"/>
      <c r="I71" s="111"/>
      <c r="J71" s="111"/>
      <c r="K71" s="111"/>
      <c r="L71" s="111"/>
      <c r="M71" s="111"/>
      <c r="N71" s="115"/>
      <c r="O71" s="115"/>
      <c r="P71" s="115"/>
      <c r="Q71" s="115"/>
      <c r="R71" s="115"/>
      <c r="S71" s="115"/>
      <c r="T71" s="115"/>
      <c r="U71" s="115"/>
      <c r="V71" s="115"/>
    </row>
    <row r="72" spans="1:22" x14ac:dyDescent="0.25">
      <c r="A72" s="16" t="s">
        <v>133</v>
      </c>
      <c r="B72" s="147"/>
      <c r="C72" s="209" t="s">
        <v>151</v>
      </c>
      <c r="D72" s="202"/>
      <c r="E72" s="202"/>
      <c r="F72" s="202"/>
      <c r="G72" s="202"/>
      <c r="H72" s="202"/>
      <c r="I72" s="202"/>
      <c r="J72" s="202"/>
      <c r="K72" s="202"/>
      <c r="L72" s="202"/>
      <c r="M72" s="202"/>
      <c r="N72" s="115"/>
      <c r="O72" s="115"/>
      <c r="P72" s="115"/>
      <c r="Q72" s="115"/>
      <c r="R72" s="115"/>
      <c r="S72" s="115"/>
      <c r="T72" s="115"/>
      <c r="U72" s="115"/>
      <c r="V72" s="115"/>
    </row>
    <row r="73" spans="1:22" ht="12.75" customHeight="1" x14ac:dyDescent="0.25">
      <c r="A73" s="16"/>
      <c r="B73" s="147"/>
      <c r="C73" s="202"/>
      <c r="D73" s="202"/>
      <c r="E73" s="202"/>
      <c r="F73" s="202"/>
      <c r="G73" s="202"/>
      <c r="H73" s="202"/>
      <c r="I73" s="202"/>
      <c r="J73" s="202"/>
      <c r="K73" s="202"/>
      <c r="L73" s="202"/>
      <c r="M73" s="202"/>
      <c r="N73" s="115"/>
      <c r="O73" s="115"/>
      <c r="P73" s="115"/>
      <c r="Q73" s="115"/>
      <c r="R73" s="115"/>
      <c r="S73" s="115"/>
      <c r="T73" s="115"/>
      <c r="U73" s="115"/>
      <c r="V73" s="115"/>
    </row>
    <row r="74" spans="1:22" ht="12.75" customHeight="1" x14ac:dyDescent="0.25">
      <c r="A74" s="16" t="s">
        <v>134</v>
      </c>
      <c r="B74" s="147"/>
      <c r="C74" s="111" t="s">
        <v>152</v>
      </c>
      <c r="D74" s="111"/>
      <c r="E74" s="111"/>
      <c r="F74" s="111"/>
      <c r="G74" s="111"/>
      <c r="H74" s="111"/>
      <c r="I74" s="111"/>
      <c r="J74" s="111"/>
      <c r="K74" s="152"/>
      <c r="L74" s="152"/>
      <c r="M74" s="152"/>
      <c r="N74" s="31"/>
      <c r="O74" s="31"/>
      <c r="P74" s="115"/>
      <c r="Q74" s="115"/>
      <c r="R74" s="115"/>
      <c r="S74" s="115"/>
      <c r="T74" s="115"/>
      <c r="U74" s="115"/>
      <c r="V74" s="115"/>
    </row>
    <row r="75" spans="1:22" x14ac:dyDescent="0.25">
      <c r="A75" s="16"/>
      <c r="B75" s="147"/>
      <c r="C75" s="152"/>
      <c r="D75" s="152"/>
      <c r="E75" s="152"/>
      <c r="F75" s="152"/>
      <c r="G75" s="152"/>
      <c r="H75" s="152"/>
      <c r="I75" s="152"/>
      <c r="J75" s="152"/>
      <c r="K75" s="152"/>
      <c r="L75" s="152"/>
      <c r="M75" s="152"/>
      <c r="N75" s="31"/>
      <c r="O75" s="31"/>
      <c r="P75" s="115"/>
      <c r="Q75" s="115"/>
      <c r="R75" s="115"/>
      <c r="S75" s="115"/>
      <c r="T75" s="115"/>
      <c r="U75" s="115"/>
      <c r="V75" s="115"/>
    </row>
    <row r="76" spans="1:22" x14ac:dyDescent="0.25">
      <c r="A76" s="16" t="s">
        <v>135</v>
      </c>
      <c r="B76" s="147"/>
      <c r="C76" s="111" t="s">
        <v>45</v>
      </c>
      <c r="D76" s="111"/>
      <c r="E76" s="111"/>
      <c r="F76" s="111"/>
      <c r="G76" s="111"/>
      <c r="H76" s="111"/>
      <c r="I76" s="111"/>
      <c r="J76" s="111"/>
      <c r="K76" s="111"/>
      <c r="L76" s="111"/>
      <c r="M76" s="111"/>
      <c r="N76" s="115"/>
      <c r="O76" s="115"/>
      <c r="P76" s="115"/>
      <c r="Q76" s="115"/>
      <c r="R76" s="115"/>
      <c r="S76" s="115"/>
      <c r="T76" s="115"/>
      <c r="U76" s="115"/>
      <c r="V76" s="115"/>
    </row>
    <row r="77" spans="1:22" x14ac:dyDescent="0.25">
      <c r="A77" s="16" t="s">
        <v>115</v>
      </c>
      <c r="B77" s="147"/>
      <c r="C77" s="111" t="s">
        <v>45</v>
      </c>
      <c r="D77" s="111"/>
      <c r="E77" s="111"/>
      <c r="F77" s="111"/>
      <c r="G77" s="111"/>
      <c r="H77" s="111"/>
      <c r="I77" s="111"/>
      <c r="J77" s="111"/>
      <c r="K77" s="111"/>
      <c r="L77" s="111"/>
      <c r="M77" s="111"/>
      <c r="N77" s="115"/>
      <c r="O77" s="115"/>
      <c r="P77" s="115"/>
      <c r="Q77" s="115"/>
      <c r="R77" s="115"/>
      <c r="S77" s="115"/>
      <c r="T77" s="115"/>
      <c r="U77" s="115"/>
      <c r="V77" s="115"/>
    </row>
    <row r="78" spans="1:22" x14ac:dyDescent="0.25">
      <c r="A78" s="17" t="s">
        <v>136</v>
      </c>
      <c r="B78" s="148"/>
      <c r="C78" s="110" t="s">
        <v>153</v>
      </c>
      <c r="D78" s="111"/>
      <c r="E78" s="111"/>
      <c r="F78" s="111"/>
      <c r="G78" s="111"/>
      <c r="H78" s="111"/>
      <c r="I78" s="111"/>
      <c r="J78" s="111"/>
      <c r="K78" s="111"/>
      <c r="L78" s="111"/>
      <c r="M78" s="111"/>
      <c r="N78" s="115"/>
      <c r="O78" s="115"/>
      <c r="P78" s="115"/>
      <c r="Q78" s="115"/>
      <c r="R78" s="115"/>
      <c r="S78" s="115"/>
      <c r="T78" s="115"/>
      <c r="U78" s="115"/>
      <c r="V78" s="115"/>
    </row>
    <row r="79" spans="1:22" x14ac:dyDescent="0.25">
      <c r="A79" s="115"/>
      <c r="B79" s="115"/>
      <c r="C79" s="111"/>
      <c r="D79" s="111"/>
      <c r="E79" s="111"/>
      <c r="F79" s="111"/>
      <c r="G79" s="111"/>
      <c r="H79" s="111"/>
      <c r="I79" s="111"/>
      <c r="J79" s="111"/>
      <c r="K79" s="111"/>
      <c r="L79" s="111"/>
      <c r="M79" s="111"/>
      <c r="N79" s="115"/>
      <c r="O79" s="115"/>
      <c r="P79" s="115"/>
      <c r="Q79" s="115"/>
      <c r="R79" s="115"/>
      <c r="S79" s="115"/>
      <c r="T79" s="115"/>
      <c r="U79" s="115"/>
      <c r="V79" s="115"/>
    </row>
    <row r="80" spans="1:22" x14ac:dyDescent="0.25">
      <c r="A80" s="24" t="s">
        <v>137</v>
      </c>
      <c r="B80" s="24"/>
      <c r="C80" s="110" t="s">
        <v>154</v>
      </c>
      <c r="D80" s="111"/>
      <c r="E80" s="111"/>
      <c r="F80" s="111"/>
      <c r="G80" s="111"/>
      <c r="H80" s="111"/>
      <c r="I80" s="111"/>
      <c r="J80" s="111"/>
      <c r="K80" s="111"/>
      <c r="L80" s="111"/>
      <c r="M80" s="111"/>
      <c r="N80" s="115"/>
      <c r="O80" s="115"/>
      <c r="P80" s="115"/>
      <c r="Q80" s="115"/>
      <c r="R80" s="115"/>
      <c r="S80" s="115"/>
      <c r="T80" s="115"/>
      <c r="U80" s="115"/>
      <c r="V80" s="115"/>
    </row>
    <row r="81" spans="1:8" x14ac:dyDescent="0.25">
      <c r="A81" s="24"/>
      <c r="B81" s="24"/>
    </row>
    <row r="82" spans="1:8" ht="13.95" customHeight="1" thickBot="1" x14ac:dyDescent="0.3">
      <c r="A82" s="21"/>
      <c r="B82" s="21"/>
      <c r="C82" s="204" t="s">
        <v>49</v>
      </c>
      <c r="D82" s="205"/>
      <c r="E82" s="205"/>
      <c r="F82" s="205"/>
      <c r="G82" s="205"/>
      <c r="H82" s="205"/>
    </row>
    <row r="83" spans="1:8" ht="55.95" customHeight="1" thickBot="1" x14ac:dyDescent="0.3">
      <c r="C83" s="144" t="s">
        <v>238</v>
      </c>
      <c r="D83" s="142" t="s">
        <v>237</v>
      </c>
      <c r="E83" s="142" t="s">
        <v>236</v>
      </c>
      <c r="F83" s="142" t="s">
        <v>235</v>
      </c>
      <c r="G83" s="142" t="s">
        <v>239</v>
      </c>
      <c r="H83" s="145" t="s">
        <v>50</v>
      </c>
    </row>
    <row r="84" spans="1:8" x14ac:dyDescent="0.25">
      <c r="A84" s="29" t="s">
        <v>124</v>
      </c>
      <c r="B84" s="150"/>
      <c r="C84" s="159">
        <f>CashFlow!C21/IncomeStatement!C5</f>
        <v>-0.24062587724367973</v>
      </c>
      <c r="D84" s="160">
        <f>CashFlow!D21/IncomeStatement!D5</f>
        <v>-1.2608891366181631E-2</v>
      </c>
      <c r="E84" s="160">
        <f>CashFlow!E21/IncomeStatement!E5</f>
        <v>1.8992984866968956E-2</v>
      </c>
      <c r="F84" s="160">
        <f>CashFlow!F21/IncomeStatement!F5</f>
        <v>-5.6535456359839821E-4</v>
      </c>
      <c r="G84" s="160">
        <f>CashFlow!G21/IncomeStatement!G5</f>
        <v>-2.5233739025296974E-2</v>
      </c>
      <c r="H84" s="161">
        <f>AVERAGE(C84:G84)</f>
        <v>-5.2008175466357567E-2</v>
      </c>
    </row>
  </sheetData>
  <mergeCells count="4">
    <mergeCell ref="C64:M65"/>
    <mergeCell ref="C43:J43"/>
    <mergeCell ref="C72:M73"/>
    <mergeCell ref="C82:H8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myoutline">
                <anchor moveWithCells="1" sizeWithCells="1">
                  <from>
                    <xdr:col>10</xdr:col>
                    <xdr:colOff>365760</xdr:colOff>
                    <xdr:row>2</xdr:row>
                    <xdr:rowOff>60960</xdr:rowOff>
                  </from>
                  <to>
                    <xdr:col>13</xdr:col>
                    <xdr:colOff>60960</xdr:colOff>
                    <xdr:row>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IncomeStatement">
                <anchor moveWithCells="1" sizeWithCells="1">
                  <from>
                    <xdr:col>10</xdr:col>
                    <xdr:colOff>373380</xdr:colOff>
                    <xdr:row>2</xdr:row>
                    <xdr:rowOff>335280</xdr:rowOff>
                  </from>
                  <to>
                    <xdr:col>13</xdr:col>
                    <xdr:colOff>68580</xdr:colOff>
                    <xdr:row>3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BalanceSheet">
                <anchor moveWithCells="1" sizeWithCells="1">
                  <from>
                    <xdr:col>10</xdr:col>
                    <xdr:colOff>365760</xdr:colOff>
                    <xdr:row>4</xdr:row>
                    <xdr:rowOff>91440</xdr:rowOff>
                  </from>
                  <to>
                    <xdr:col>13</xdr:col>
                    <xdr:colOff>60960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M26"/>
  <sheetViews>
    <sheetView showGridLines="0" workbookViewId="0">
      <selection activeCell="D5" sqref="D5"/>
    </sheetView>
  </sheetViews>
  <sheetFormatPr defaultColWidth="9.109375" defaultRowHeight="13.2" x14ac:dyDescent="0.25"/>
  <cols>
    <col min="1" max="2" width="9.109375" style="44" customWidth="1"/>
    <col min="3" max="3" width="9.33203125" style="44" customWidth="1"/>
    <col min="4" max="4" width="11.33203125" style="44" bestFit="1" customWidth="1"/>
    <col min="5" max="5" width="9.109375" style="44" customWidth="1"/>
    <col min="6" max="6" width="11.77734375" style="44" customWidth="1"/>
    <col min="7" max="7" width="9.33203125" style="44" bestFit="1" customWidth="1"/>
    <col min="8" max="10" width="9.109375" style="44" customWidth="1"/>
    <col min="11" max="11" width="9.33203125" style="44" customWidth="1"/>
    <col min="12" max="17" width="9.109375" style="44" customWidth="1"/>
    <col min="18" max="18" width="3.77734375" style="44" customWidth="1"/>
    <col min="19" max="19" width="12.77734375" style="44" customWidth="1"/>
    <col min="20" max="20" width="3.33203125" style="44" customWidth="1"/>
    <col min="21" max="21" width="3.109375" style="44" customWidth="1"/>
    <col min="22" max="22" width="3.6640625" style="44" customWidth="1"/>
    <col min="23" max="23" width="13.33203125" style="44" customWidth="1"/>
    <col min="24" max="24" width="3.6640625" style="44" customWidth="1"/>
    <col min="25" max="25" width="2.77734375" style="44" customWidth="1"/>
    <col min="26" max="26" width="7.6640625" style="44" customWidth="1"/>
    <col min="27" max="27" width="9.109375" style="44" customWidth="1"/>
    <col min="28" max="16384" width="9.109375" style="44"/>
  </cols>
  <sheetData>
    <row r="1" spans="1:13" ht="18" customHeight="1" x14ac:dyDescent="0.3">
      <c r="A1" s="212" t="s">
        <v>155</v>
      </c>
      <c r="B1" s="213"/>
      <c r="C1" s="213"/>
      <c r="D1" s="213"/>
      <c r="E1" s="213"/>
      <c r="F1" s="213"/>
      <c r="G1" s="213"/>
      <c r="H1" s="213"/>
      <c r="I1" s="213"/>
      <c r="J1" s="213"/>
      <c r="K1" s="213"/>
      <c r="L1" s="213"/>
    </row>
    <row r="3" spans="1:13" ht="16.05" customHeight="1" thickBot="1" x14ac:dyDescent="0.3">
      <c r="B3" s="47" t="s">
        <v>156</v>
      </c>
      <c r="D3">
        <v>1.25</v>
      </c>
      <c r="F3" s="47" t="s">
        <v>157</v>
      </c>
      <c r="H3">
        <v>0.05</v>
      </c>
      <c r="J3" s="47" t="s">
        <v>158</v>
      </c>
      <c r="K3">
        <v>0.73</v>
      </c>
    </row>
    <row r="4" spans="1:13" ht="15.75" customHeight="1" thickTop="1" thickBot="1" x14ac:dyDescent="0.3">
      <c r="B4" s="210" t="s">
        <v>159</v>
      </c>
      <c r="C4" s="211"/>
      <c r="D4" s="74">
        <v>4.2999999999999997E-2</v>
      </c>
      <c r="F4" s="210" t="s">
        <v>160</v>
      </c>
      <c r="G4" s="211"/>
      <c r="H4" s="50">
        <v>0.29599999999999999</v>
      </c>
      <c r="J4" s="153" t="s">
        <v>161</v>
      </c>
      <c r="K4" s="168">
        <v>0.27</v>
      </c>
      <c r="L4" s="169"/>
    </row>
    <row r="5" spans="1:13" ht="15.75" customHeight="1" thickTop="1" thickBot="1" x14ac:dyDescent="0.3">
      <c r="B5" s="210" t="s">
        <v>162</v>
      </c>
      <c r="C5" s="211"/>
      <c r="D5" s="50">
        <v>0.1</v>
      </c>
      <c r="F5" s="210" t="s">
        <v>163</v>
      </c>
      <c r="G5" s="211"/>
      <c r="H5" s="50">
        <v>3.5200000000000002E-2</v>
      </c>
      <c r="J5" s="153" t="s">
        <v>164</v>
      </c>
      <c r="K5" s="168">
        <f>BalanceSheet!I37/BalanceSheet!I45</f>
        <v>0.19064269930188713</v>
      </c>
    </row>
    <row r="6" spans="1:13" ht="15.75" customHeight="1" thickTop="1" thickBot="1" x14ac:dyDescent="0.3">
      <c r="B6" s="210" t="s">
        <v>165</v>
      </c>
      <c r="C6" s="211"/>
      <c r="D6" s="50">
        <v>0.11425</v>
      </c>
      <c r="F6" s="214" t="s">
        <v>166</v>
      </c>
      <c r="G6" s="213"/>
      <c r="H6" s="104">
        <f>H4*(1-H5)</f>
        <v>0.28558079999999997</v>
      </c>
      <c r="J6" s="153" t="s">
        <v>167</v>
      </c>
      <c r="K6" s="170">
        <f>SUM(K4:K5)</f>
        <v>0.46064269930188717</v>
      </c>
    </row>
    <row r="7" spans="1:13" ht="15.75" customHeight="1" thickTop="1" thickBot="1" x14ac:dyDescent="0.3">
      <c r="B7" s="210" t="s">
        <v>168</v>
      </c>
      <c r="C7" s="211"/>
      <c r="D7" s="104">
        <v>9.2906500000000003E-2</v>
      </c>
    </row>
    <row r="8" spans="1:13" ht="13.95" customHeight="1" thickTop="1" x14ac:dyDescent="0.25">
      <c r="B8" s="47"/>
    </row>
    <row r="9" spans="1:13" x14ac:dyDescent="0.25">
      <c r="M9" s="171"/>
    </row>
    <row r="10" spans="1:13" x14ac:dyDescent="0.25">
      <c r="M10" s="171"/>
    </row>
    <row r="13" spans="1:13" x14ac:dyDescent="0.25">
      <c r="C13" s="47" t="s">
        <v>169</v>
      </c>
      <c r="D13" s="73">
        <f>(K4*D7)+(K5*H6)</f>
        <v>7.9528649580792365E-2</v>
      </c>
    </row>
    <row r="14" spans="1:13" x14ac:dyDescent="0.25">
      <c r="C14" s="47"/>
      <c r="D14" s="73"/>
    </row>
    <row r="15" spans="1:13" x14ac:dyDescent="0.25">
      <c r="C15" s="218" t="s">
        <v>170</v>
      </c>
      <c r="D15" s="213"/>
      <c r="E15" s="213"/>
      <c r="F15" s="213"/>
      <c r="G15" s="213"/>
      <c r="H15" s="213"/>
      <c r="I15" s="213"/>
      <c r="J15" s="213"/>
      <c r="K15" s="213"/>
      <c r="L15" s="213"/>
    </row>
    <row r="16" spans="1:13" x14ac:dyDescent="0.25">
      <c r="C16" s="154"/>
      <c r="D16" s="154"/>
      <c r="E16" s="154"/>
      <c r="F16" s="154"/>
      <c r="G16" s="154"/>
      <c r="H16" s="154"/>
      <c r="I16" s="154"/>
      <c r="J16" s="154"/>
      <c r="K16" s="154"/>
      <c r="L16" s="154"/>
    </row>
    <row r="17" spans="2:12" ht="13.95" customHeight="1" thickBot="1" x14ac:dyDescent="0.3">
      <c r="B17" s="72"/>
      <c r="C17" s="71"/>
      <c r="D17" s="215" t="s">
        <v>171</v>
      </c>
      <c r="E17" s="216"/>
      <c r="F17" s="216"/>
      <c r="G17" s="216"/>
      <c r="H17" s="216"/>
      <c r="I17" s="216"/>
      <c r="J17" s="216"/>
      <c r="K17" s="216"/>
      <c r="L17" s="217"/>
    </row>
    <row r="18" spans="2:12" ht="15" customHeight="1" thickTop="1" thickBot="1" x14ac:dyDescent="0.3">
      <c r="B18" s="64"/>
      <c r="C18" s="70">
        <f>($K$4*$D$7)+($K$5*$H$6)</f>
        <v>7.9528649580792365E-2</v>
      </c>
      <c r="D18" s="69">
        <v>0.55000000000000004</v>
      </c>
      <c r="E18" s="69">
        <v>0.6</v>
      </c>
      <c r="F18" s="69">
        <v>0.65</v>
      </c>
      <c r="G18" s="69">
        <v>0.7</v>
      </c>
      <c r="H18" s="69">
        <v>0.75</v>
      </c>
      <c r="I18" s="69">
        <v>0.8</v>
      </c>
      <c r="J18" s="69">
        <v>0.85</v>
      </c>
      <c r="K18" s="69">
        <f>IF(L4=0.9,0.9,J18+0.05)</f>
        <v>0.9</v>
      </c>
      <c r="L18" s="68">
        <f>IF(L4=1,1,K18+0.05)</f>
        <v>0.95000000000000007</v>
      </c>
    </row>
    <row r="19" spans="2:12" ht="15" customHeight="1" thickTop="1" thickBot="1" x14ac:dyDescent="0.3">
      <c r="B19" s="64"/>
      <c r="C19" s="63">
        <f>C20-0.05</f>
        <v>-0.15000000000000002</v>
      </c>
      <c r="D19" s="67">
        <f t="dataTable" ref="D19:L25" dt2D="1" dtr="0" r1="K4" r2="D4" ca="1"/>
        <v>0.10554246958079236</v>
      </c>
      <c r="E19" s="67">
        <v>0.11018779458079236</v>
      </c>
      <c r="F19" s="67">
        <v>0.11483311958079237</v>
      </c>
      <c r="G19" s="67">
        <v>0.11947844458079235</v>
      </c>
      <c r="H19" s="67">
        <v>0.12412376958079235</v>
      </c>
      <c r="I19" s="67">
        <v>0.12876909458079236</v>
      </c>
      <c r="J19" s="67">
        <v>0.13341441958079236</v>
      </c>
      <c r="K19" s="67">
        <v>0.13805974458079237</v>
      </c>
      <c r="L19" s="66">
        <v>0.14270506958079238</v>
      </c>
    </row>
    <row r="20" spans="2:12" ht="15" customHeight="1" thickTop="1" thickBot="1" x14ac:dyDescent="0.3">
      <c r="B20" s="64"/>
      <c r="C20" s="63">
        <f>C21-0.05</f>
        <v>-0.1</v>
      </c>
      <c r="D20" s="62">
        <v>0.10554246958079236</v>
      </c>
      <c r="E20" s="62">
        <v>0.11018779458079236</v>
      </c>
      <c r="F20" s="62">
        <v>0.11483311958079237</v>
      </c>
      <c r="G20" s="62">
        <v>0.11947844458079235</v>
      </c>
      <c r="H20" s="62">
        <v>0.12412376958079235</v>
      </c>
      <c r="I20" s="62">
        <v>0.12876909458079236</v>
      </c>
      <c r="J20" s="62">
        <v>0.13341441958079236</v>
      </c>
      <c r="K20" s="62">
        <v>0.13805974458079237</v>
      </c>
      <c r="L20" s="61">
        <v>0.14270506958079238</v>
      </c>
    </row>
    <row r="21" spans="2:12" ht="15" customHeight="1" thickTop="1" thickBot="1" x14ac:dyDescent="0.3">
      <c r="B21" s="64"/>
      <c r="C21" s="63">
        <f>C22-0.05</f>
        <v>-0.05</v>
      </c>
      <c r="D21" s="62">
        <v>0.10554246958079236</v>
      </c>
      <c r="E21" s="62">
        <v>0.11018779458079236</v>
      </c>
      <c r="F21" s="62">
        <v>0.11483311958079237</v>
      </c>
      <c r="G21" s="62">
        <v>0.11947844458079235</v>
      </c>
      <c r="H21" s="62">
        <v>0.12412376958079235</v>
      </c>
      <c r="I21" s="62">
        <v>0.12876909458079236</v>
      </c>
      <c r="J21" s="62">
        <v>0.13341441958079236</v>
      </c>
      <c r="K21" s="62">
        <v>0.13805974458079237</v>
      </c>
      <c r="L21" s="61">
        <v>0.14270506958079238</v>
      </c>
    </row>
    <row r="22" spans="2:12" ht="15" customHeight="1" thickTop="1" thickBot="1" x14ac:dyDescent="0.3">
      <c r="B22" s="65" t="s">
        <v>172</v>
      </c>
      <c r="C22" s="63">
        <f>ROUND(D4,1)</f>
        <v>0</v>
      </c>
      <c r="D22" s="62">
        <v>0.10554246958079236</v>
      </c>
      <c r="E22" s="62">
        <v>0.11018779458079236</v>
      </c>
      <c r="F22" s="62">
        <v>0.11483311958079237</v>
      </c>
      <c r="G22" s="62">
        <v>0.11947844458079235</v>
      </c>
      <c r="H22" s="62">
        <v>0.12412376958079235</v>
      </c>
      <c r="I22" s="62">
        <v>0.12876909458079236</v>
      </c>
      <c r="J22" s="62">
        <v>0.13341441958079236</v>
      </c>
      <c r="K22" s="62">
        <v>0.13805974458079237</v>
      </c>
      <c r="L22" s="61">
        <v>0.14270506958079238</v>
      </c>
    </row>
    <row r="23" spans="2:12" ht="15" customHeight="1" thickTop="1" thickBot="1" x14ac:dyDescent="0.3">
      <c r="B23" s="64"/>
      <c r="C23" s="63">
        <f>C22+0.05</f>
        <v>0.05</v>
      </c>
      <c r="D23" s="62">
        <v>0.10554246958079236</v>
      </c>
      <c r="E23" s="62">
        <v>0.11018779458079236</v>
      </c>
      <c r="F23" s="62">
        <v>0.11483311958079237</v>
      </c>
      <c r="G23" s="62">
        <v>0.11947844458079235</v>
      </c>
      <c r="H23" s="62">
        <v>0.12412376958079235</v>
      </c>
      <c r="I23" s="62">
        <v>0.12876909458079236</v>
      </c>
      <c r="J23" s="62">
        <v>0.13341441958079236</v>
      </c>
      <c r="K23" s="62">
        <v>0.13805974458079237</v>
      </c>
      <c r="L23" s="61">
        <v>0.14270506958079238</v>
      </c>
    </row>
    <row r="24" spans="2:12" ht="15" customHeight="1" thickTop="1" thickBot="1" x14ac:dyDescent="0.3">
      <c r="B24" s="64"/>
      <c r="C24" s="63">
        <f>C23+0.05</f>
        <v>0.1</v>
      </c>
      <c r="D24" s="62">
        <v>0.10554246958079236</v>
      </c>
      <c r="E24" s="62">
        <v>0.11018779458079236</v>
      </c>
      <c r="F24" s="62">
        <v>0.11483311958079237</v>
      </c>
      <c r="G24" s="62">
        <v>0.11947844458079235</v>
      </c>
      <c r="H24" s="62">
        <v>0.12412376958079235</v>
      </c>
      <c r="I24" s="62">
        <v>0.12876909458079236</v>
      </c>
      <c r="J24" s="62">
        <v>0.13341441958079236</v>
      </c>
      <c r="K24" s="62">
        <v>0.13805974458079237</v>
      </c>
      <c r="L24" s="61">
        <v>0.14270506958079238</v>
      </c>
    </row>
    <row r="25" spans="2:12" ht="13.95" customHeight="1" thickTop="1" x14ac:dyDescent="0.25">
      <c r="B25" s="60"/>
      <c r="C25" s="59">
        <f>C24+0.05</f>
        <v>0.15000000000000002</v>
      </c>
      <c r="D25" s="58">
        <v>0.10554246958079236</v>
      </c>
      <c r="E25" s="58">
        <v>0.11018779458079236</v>
      </c>
      <c r="F25" s="58">
        <v>0.11483311958079237</v>
      </c>
      <c r="G25" s="58">
        <v>0.11947844458079235</v>
      </c>
      <c r="H25" s="58">
        <v>0.12412376958079235</v>
      </c>
      <c r="I25" s="58">
        <v>0.12876909458079236</v>
      </c>
      <c r="J25" s="58">
        <v>0.13341441958079236</v>
      </c>
      <c r="K25" s="58">
        <v>0.13805974458079237</v>
      </c>
      <c r="L25" s="57">
        <v>0.14270506958079238</v>
      </c>
    </row>
    <row r="26" spans="2:12" x14ac:dyDescent="0.25">
      <c r="C26" s="56"/>
    </row>
  </sheetData>
  <mergeCells count="10">
    <mergeCell ref="D17:L17"/>
    <mergeCell ref="C15:L15"/>
    <mergeCell ref="B4:C4"/>
    <mergeCell ref="F4:G4"/>
    <mergeCell ref="B6:C6"/>
    <mergeCell ref="B7:C7"/>
    <mergeCell ref="B5:C5"/>
    <mergeCell ref="A1:L1"/>
    <mergeCell ref="F5:G5"/>
    <mergeCell ref="F6:G6"/>
  </mergeCells>
  <pageMargins left="0.75" right="0.75" top="1" bottom="1" header="0.5" footer="0.5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myoutline">
                <anchor moveWithCells="1" sizeWithCells="1">
                  <from>
                    <xdr:col>13</xdr:col>
                    <xdr:colOff>53340</xdr:colOff>
                    <xdr:row>1</xdr:row>
                    <xdr:rowOff>53340</xdr:rowOff>
                  </from>
                  <to>
                    <xdr:col>15</xdr:col>
                    <xdr:colOff>129540</xdr:colOff>
                    <xdr:row>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41"/>
  <sheetViews>
    <sheetView showGridLines="0" workbookViewId="0"/>
  </sheetViews>
  <sheetFormatPr defaultColWidth="9.109375" defaultRowHeight="13.2" x14ac:dyDescent="0.25"/>
  <cols>
    <col min="1" max="1" width="5.6640625" style="44" customWidth="1"/>
    <col min="2" max="2" width="13.109375" style="44" customWidth="1"/>
    <col min="3" max="4" width="9.109375" style="44" customWidth="1"/>
    <col min="5" max="5" width="9.6640625" style="44" customWidth="1"/>
    <col min="6" max="8" width="9.109375" style="44" customWidth="1"/>
    <col min="9" max="9" width="13.33203125" style="44" bestFit="1" customWidth="1"/>
    <col min="10" max="10" width="9.109375" style="44" customWidth="1"/>
    <col min="11" max="16384" width="9.109375" style="44"/>
  </cols>
  <sheetData>
    <row r="1" spans="1:6" s="54" customFormat="1" ht="19.95" customHeight="1" x14ac:dyDescent="0.4">
      <c r="A1" s="52" t="s">
        <v>173</v>
      </c>
    </row>
    <row r="2" spans="1:6" x14ac:dyDescent="0.25">
      <c r="E2">
        <v>0</v>
      </c>
    </row>
    <row r="3" spans="1:6" x14ac:dyDescent="0.25">
      <c r="E3">
        <v>0.08</v>
      </c>
    </row>
    <row r="4" spans="1:6" x14ac:dyDescent="0.25">
      <c r="E4">
        <v>0.11425</v>
      </c>
    </row>
    <row r="5" spans="1:6" x14ac:dyDescent="0.25">
      <c r="E5">
        <v>170.09</v>
      </c>
    </row>
    <row r="6" spans="1:6" ht="13.95" customHeight="1" thickBot="1" x14ac:dyDescent="0.3">
      <c r="E6">
        <v>0</v>
      </c>
    </row>
    <row r="7" spans="1:6" ht="15" customHeight="1" thickTop="1" thickBot="1" x14ac:dyDescent="0.3">
      <c r="B7" s="214" t="s">
        <v>174</v>
      </c>
      <c r="C7" s="213"/>
      <c r="D7" s="213"/>
      <c r="E7" s="172" t="s">
        <v>175</v>
      </c>
    </row>
    <row r="8" spans="1:6" ht="15" customHeight="1" thickTop="1" thickBot="1" x14ac:dyDescent="0.3">
      <c r="B8" s="214" t="s">
        <v>176</v>
      </c>
      <c r="C8" s="213"/>
      <c r="D8" s="213"/>
      <c r="E8" s="50">
        <v>0.05</v>
      </c>
    </row>
    <row r="9" spans="1:6" ht="15" customHeight="1" thickTop="1" thickBot="1" x14ac:dyDescent="0.3">
      <c r="B9" s="214" t="s">
        <v>177</v>
      </c>
      <c r="C9" s="213"/>
      <c r="D9" s="213"/>
      <c r="E9" s="50">
        <v>0.08</v>
      </c>
    </row>
    <row r="10" spans="1:6" ht="15" customHeight="1" thickTop="1" thickBot="1" x14ac:dyDescent="0.3">
      <c r="B10" s="214" t="s">
        <v>178</v>
      </c>
      <c r="C10" s="213"/>
      <c r="D10" s="213"/>
      <c r="E10" s="172">
        <v>65</v>
      </c>
    </row>
    <row r="11" spans="1:6" ht="13.95" customHeight="1" thickTop="1" x14ac:dyDescent="0.25"/>
    <row r="12" spans="1:6" x14ac:dyDescent="0.25">
      <c r="B12" s="219" t="s">
        <v>179</v>
      </c>
      <c r="C12" s="213"/>
      <c r="D12" s="213"/>
      <c r="E12" s="173" t="e">
        <f>((E7*(1+E8)))/(E9-E8)</f>
        <v>#VALUE!</v>
      </c>
      <c r="F12" s="173"/>
    </row>
    <row r="14" spans="1:6" x14ac:dyDescent="0.25">
      <c r="B14" s="219" t="e">
        <f>IF(E12/E10-1&lt;0,"The Stock is Over Valued by:",IF(E12/E10-1=0,"The Stock is at Fair Value",("The Stock is Under Valued by:")))</f>
        <v>#VALUE!</v>
      </c>
      <c r="C14" s="213"/>
      <c r="D14" s="213"/>
      <c r="E14" s="45" t="e">
        <f>(E12-E10)/E10</f>
        <v>#VALUE!</v>
      </c>
    </row>
    <row r="17" spans="1:9" hidden="1" x14ac:dyDescent="0.25">
      <c r="D17" s="53">
        <f>E17-0.01</f>
        <v>8.0000000000000016E-2</v>
      </c>
      <c r="E17" s="53">
        <f>F17-0.01</f>
        <v>9.0000000000000011E-2</v>
      </c>
      <c r="F17" s="53">
        <v>0.1</v>
      </c>
      <c r="G17" s="53">
        <f>F17+0.01</f>
        <v>0.11</v>
      </c>
      <c r="H17" s="53">
        <f>G17+0.01</f>
        <v>0.12</v>
      </c>
    </row>
    <row r="18" spans="1:9" hidden="1" x14ac:dyDescent="0.25">
      <c r="B18" s="44" t="s">
        <v>180</v>
      </c>
      <c r="C18" s="174" t="e">
        <f>((#REF!*(1+#REF!)))/(#REF!-#REF!)</f>
        <v>#REF!</v>
      </c>
      <c r="D18" s="174" t="e">
        <f t="dataTable" ref="D18:H18" dt2D="0" dtr="1" del1="1" r1="XFD65536"/>
        <v>#REF!</v>
      </c>
      <c r="E18" s="174" t="e">
        <v>#REF!</v>
      </c>
      <c r="F18" s="174" t="e">
        <v>#REF!</v>
      </c>
      <c r="G18" s="174" t="e">
        <v>#REF!</v>
      </c>
      <c r="H18" s="174" t="e">
        <v>#REF!</v>
      </c>
    </row>
    <row r="19" spans="1:9" collapsed="1" x14ac:dyDescent="0.25"/>
    <row r="20" spans="1:9" ht="19.95" customHeight="1" x14ac:dyDescent="0.4">
      <c r="A20" s="52" t="s">
        <v>181</v>
      </c>
      <c r="B20" s="51"/>
    </row>
    <row r="21" spans="1:9" ht="19.95" customHeight="1" x14ac:dyDescent="0.4">
      <c r="A21" s="52"/>
      <c r="B21" s="51"/>
    </row>
    <row r="22" spans="1:9" ht="19.95" customHeight="1" x14ac:dyDescent="0.4">
      <c r="A22" s="52"/>
      <c r="B22" s="51"/>
    </row>
    <row r="24" spans="1:9" ht="13.95" customHeight="1" thickBot="1" x14ac:dyDescent="0.3"/>
    <row r="25" spans="1:9" ht="15" customHeight="1" thickTop="1" thickBot="1" x14ac:dyDescent="0.3">
      <c r="B25" s="214" t="s">
        <v>174</v>
      </c>
      <c r="C25" s="213"/>
      <c r="D25" s="213"/>
      <c r="E25" s="172">
        <v>0.04</v>
      </c>
    </row>
    <row r="26" spans="1:9" ht="16.95" customHeight="1" thickTop="1" thickBot="1" x14ac:dyDescent="0.3">
      <c r="B26" s="214" t="s">
        <v>182</v>
      </c>
      <c r="C26" s="213"/>
      <c r="D26" s="213"/>
      <c r="E26" s="50">
        <v>0.05</v>
      </c>
    </row>
    <row r="27" spans="1:9" ht="16.95" customHeight="1" thickTop="1" thickBot="1" x14ac:dyDescent="0.3">
      <c r="B27" s="214" t="s">
        <v>183</v>
      </c>
      <c r="C27" s="213"/>
      <c r="D27" s="213"/>
      <c r="E27" s="50">
        <v>0.05</v>
      </c>
    </row>
    <row r="28" spans="1:9" ht="15" customHeight="1" thickTop="1" thickBot="1" x14ac:dyDescent="0.3">
      <c r="B28" s="214" t="s">
        <v>177</v>
      </c>
      <c r="C28" s="213"/>
      <c r="D28" s="213"/>
      <c r="E28" s="50">
        <v>0.08</v>
      </c>
    </row>
    <row r="29" spans="1:9" ht="15" customHeight="1" thickTop="1" thickBot="1" x14ac:dyDescent="0.3">
      <c r="B29" s="214" t="s">
        <v>178</v>
      </c>
      <c r="C29" s="213"/>
      <c r="D29" s="213"/>
      <c r="E29" s="172">
        <v>106</v>
      </c>
    </row>
    <row r="30" spans="1:9" ht="13.95" customHeight="1" thickTop="1" x14ac:dyDescent="0.25"/>
    <row r="31" spans="1:9" x14ac:dyDescent="0.25">
      <c r="B31" s="44" t="s">
        <v>184</v>
      </c>
      <c r="D31" s="49">
        <f>C31+1</f>
        <v>1</v>
      </c>
      <c r="E31" s="49">
        <f>D31+1</f>
        <v>2</v>
      </c>
      <c r="F31" s="49">
        <f>E31+1</f>
        <v>3</v>
      </c>
      <c r="G31" s="49">
        <f>F31+1</f>
        <v>4</v>
      </c>
      <c r="H31" s="49">
        <f>G31+1</f>
        <v>5</v>
      </c>
      <c r="I31" s="48" t="s">
        <v>185</v>
      </c>
    </row>
    <row r="32" spans="1:9" x14ac:dyDescent="0.25">
      <c r="B32" s="46"/>
      <c r="D32" s="174">
        <f>E25*(1+E26)</f>
        <v>4.2000000000000003E-2</v>
      </c>
      <c r="E32" s="174">
        <f>D32*(1+$E$26)</f>
        <v>4.4100000000000007E-2</v>
      </c>
      <c r="F32" s="174">
        <f>E32*(1+$E$26)</f>
        <v>4.6305000000000013E-2</v>
      </c>
      <c r="G32" s="174">
        <f>F32*(1+$E$26)</f>
        <v>4.8620250000000018E-2</v>
      </c>
      <c r="H32" s="174">
        <f>G32*(1+$E$26)</f>
        <v>5.1051262500000021E-2</v>
      </c>
      <c r="I32" s="174">
        <f>(H32*(1+E27)/(E28-E27))</f>
        <v>1.7867941875000009</v>
      </c>
    </row>
    <row r="33" spans="2:9" x14ac:dyDescent="0.25">
      <c r="B33" s="46"/>
      <c r="D33" s="174">
        <f>D32/(1+$E$28)^D31</f>
        <v>3.888888888888889E-2</v>
      </c>
      <c r="E33" s="174">
        <f>E32/(1+$E$28)^E31</f>
        <v>3.7808641975308643E-2</v>
      </c>
      <c r="F33" s="174">
        <f>F32/(1+$E$28)^F31</f>
        <v>3.6758401920438964E-2</v>
      </c>
      <c r="G33" s="174">
        <f>G32/(1+$E$28)^G31</f>
        <v>3.5737335200426767E-2</v>
      </c>
      <c r="H33" s="174">
        <f>H32/(1+$E$28)^H31</f>
        <v>3.4744631444859363E-2</v>
      </c>
      <c r="I33" s="174">
        <f>I32/(1+$E$28)^H31</f>
        <v>1.2160621005700778</v>
      </c>
    </row>
    <row r="34" spans="2:9" x14ac:dyDescent="0.25">
      <c r="B34" s="46"/>
      <c r="D34" s="174"/>
      <c r="E34" s="174"/>
      <c r="F34" s="174"/>
      <c r="G34" s="174"/>
      <c r="H34" s="174"/>
      <c r="I34" s="174"/>
    </row>
    <row r="35" spans="2:9" x14ac:dyDescent="0.25">
      <c r="B35" s="44" t="s">
        <v>186</v>
      </c>
      <c r="D35" s="49">
        <f>C35+1</f>
        <v>1</v>
      </c>
      <c r="E35" s="49">
        <f>D35+1</f>
        <v>2</v>
      </c>
      <c r="F35" s="49">
        <f>E35+1</f>
        <v>3</v>
      </c>
      <c r="G35" s="49">
        <f>F35+1</f>
        <v>4</v>
      </c>
      <c r="H35" s="49">
        <f>G35+1</f>
        <v>5</v>
      </c>
      <c r="I35" s="48" t="s">
        <v>185</v>
      </c>
    </row>
    <row r="36" spans="2:9" x14ac:dyDescent="0.25">
      <c r="B36" s="46"/>
      <c r="D36" s="174">
        <f>$E$25*(1+$E$26)</f>
        <v>4.2000000000000003E-2</v>
      </c>
      <c r="E36" s="174">
        <f>$E$25*(1+$E$26)^E35</f>
        <v>4.41E-2</v>
      </c>
      <c r="F36" s="174">
        <f>$E$25*(1+$E$26)^F35</f>
        <v>4.6305000000000006E-2</v>
      </c>
      <c r="G36" s="174">
        <f>$E$25*(1+$E$26)^G35</f>
        <v>4.8620250000000004E-2</v>
      </c>
      <c r="H36" s="174">
        <f>$E$25*(1+$E$26)^H35</f>
        <v>5.1051262500000007E-2</v>
      </c>
      <c r="I36" s="174">
        <f>($E$25*(1+$E$26)^H35*(1+$E$27))/(E28-E27)</f>
        <v>1.7867941875000004</v>
      </c>
    </row>
    <row r="37" spans="2:9" x14ac:dyDescent="0.25">
      <c r="B37" s="46"/>
      <c r="D37" s="174">
        <f>D36/(1+$E$28)^D35</f>
        <v>3.888888888888889E-2</v>
      </c>
      <c r="E37" s="174">
        <f>E36/(1+$E$28)^E35</f>
        <v>3.7808641975308636E-2</v>
      </c>
      <c r="F37" s="174">
        <f>F36/(1+$E$28)^F35</f>
        <v>3.6758401920438957E-2</v>
      </c>
      <c r="G37" s="174">
        <f>G36/(1+$E$28)^G35</f>
        <v>3.5737335200426761E-2</v>
      </c>
      <c r="H37" s="174">
        <f>H36/(1+$E$28)^H35</f>
        <v>3.4744631444859349E-2</v>
      </c>
      <c r="I37" s="174">
        <f>I36/(1+$E$28)^H35</f>
        <v>1.2160621005700774</v>
      </c>
    </row>
    <row r="38" spans="2:9" x14ac:dyDescent="0.25">
      <c r="B38" s="47"/>
    </row>
    <row r="39" spans="2:9" x14ac:dyDescent="0.25">
      <c r="B39" s="219" t="s">
        <v>179</v>
      </c>
      <c r="C39" s="213"/>
      <c r="D39" s="213"/>
      <c r="E39" s="173">
        <f>SUM(C33:I33)</f>
        <v>1.4000000000000004</v>
      </c>
    </row>
    <row r="40" spans="2:9" x14ac:dyDescent="0.25">
      <c r="B40" s="46"/>
    </row>
    <row r="41" spans="2:9" x14ac:dyDescent="0.25">
      <c r="B41" s="219" t="str">
        <f>IF(E39/E29-1&lt;0,"The Stock is Over Valued by:",IF(E39/E29-1=0,"The Stock is at Fair Value",("The Stock is Under Valued by:")))</f>
        <v>The Stock is Over Valued by:</v>
      </c>
      <c r="C41" s="213"/>
      <c r="D41" s="213"/>
      <c r="E41" s="45">
        <f>(E39-E29)/E29</f>
        <v>-0.98679245283018857</v>
      </c>
    </row>
  </sheetData>
  <mergeCells count="13">
    <mergeCell ref="B7:D7"/>
    <mergeCell ref="B10:D10"/>
    <mergeCell ref="B28:D28"/>
    <mergeCell ref="B14:D14"/>
    <mergeCell ref="B41:D41"/>
    <mergeCell ref="B8:D8"/>
    <mergeCell ref="B26:D26"/>
    <mergeCell ref="B9:D9"/>
    <mergeCell ref="B27:D27"/>
    <mergeCell ref="B12:D12"/>
    <mergeCell ref="B29:D29"/>
    <mergeCell ref="B39:D39"/>
    <mergeCell ref="B25:D25"/>
  </mergeCells>
  <pageMargins left="0.75" right="0.75" top="1" bottom="1" header="0.5" footer="0.5"/>
  <pageSetup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myoutline">
                <anchor moveWithCells="1" sizeWithCells="1">
                  <from>
                    <xdr:col>8</xdr:col>
                    <xdr:colOff>304800</xdr:colOff>
                    <xdr:row>2</xdr:row>
                    <xdr:rowOff>53340</xdr:rowOff>
                  </from>
                  <to>
                    <xdr:col>10</xdr:col>
                    <xdr:colOff>205740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M70"/>
  <sheetViews>
    <sheetView showGridLines="0" workbookViewId="0">
      <selection activeCell="C68" sqref="C68"/>
    </sheetView>
  </sheetViews>
  <sheetFormatPr defaultColWidth="9.109375" defaultRowHeight="13.2" x14ac:dyDescent="0.25"/>
  <cols>
    <col min="1" max="1" width="32" style="44" customWidth="1"/>
    <col min="2" max="11" width="12" style="44" customWidth="1"/>
    <col min="12" max="12" width="13.33203125" style="44" customWidth="1"/>
    <col min="13" max="13" width="15.77734375" style="44" customWidth="1"/>
    <col min="14" max="14" width="9.109375" style="44" customWidth="1"/>
    <col min="15" max="16384" width="9.109375" style="44"/>
  </cols>
  <sheetData>
    <row r="1" spans="1:12" ht="18" customHeight="1" x14ac:dyDescent="0.3">
      <c r="A1" s="51" t="s">
        <v>187</v>
      </c>
      <c r="B1" s="51"/>
    </row>
    <row r="2" spans="1:12" ht="15.6" x14ac:dyDescent="0.3">
      <c r="A2" s="175" t="s">
        <v>6</v>
      </c>
    </row>
    <row r="3" spans="1:12" ht="13.95" customHeight="1" thickBot="1" x14ac:dyDescent="0.3">
      <c r="C3" s="176"/>
    </row>
    <row r="4" spans="1:12" ht="18" customHeight="1" thickTop="1" thickBot="1" x14ac:dyDescent="0.35">
      <c r="A4" s="47" t="s">
        <v>188</v>
      </c>
      <c r="B4" s="220" t="s">
        <v>8</v>
      </c>
      <c r="C4" s="213"/>
      <c r="D4" s="213"/>
      <c r="E4" s="213"/>
      <c r="F4" s="211"/>
      <c r="G4" s="224" t="s">
        <v>13</v>
      </c>
      <c r="H4" s="225"/>
      <c r="I4" s="225"/>
      <c r="J4" s="225"/>
      <c r="K4" s="226"/>
      <c r="L4" s="97"/>
    </row>
    <row r="5" spans="1:12" ht="15" customHeight="1" thickTop="1" thickBot="1" x14ac:dyDescent="0.3">
      <c r="A5" s="92" t="s">
        <v>189</v>
      </c>
      <c r="B5" s="91">
        <v>4401.8789999999999</v>
      </c>
      <c r="C5" s="91">
        <v>6256.6170000000002</v>
      </c>
      <c r="D5" s="91">
        <v>8110.518</v>
      </c>
      <c r="E5" s="91">
        <v>9619.2780000000002</v>
      </c>
      <c r="F5" s="90">
        <v>10588.126</v>
      </c>
      <c r="G5" s="89">
        <v>11040.29</v>
      </c>
      <c r="H5" s="89">
        <v>11537.65</v>
      </c>
      <c r="I5" s="89">
        <v>12190.48</v>
      </c>
      <c r="J5" s="89">
        <v>12800</v>
      </c>
      <c r="K5" s="89">
        <v>13400</v>
      </c>
    </row>
    <row r="6" spans="1:12" ht="13.95" customHeight="1" thickTop="1" x14ac:dyDescent="0.25">
      <c r="A6" s="88" t="s">
        <v>190</v>
      </c>
      <c r="B6" s="177">
        <v>1937.8879999999999</v>
      </c>
      <c r="C6" s="177">
        <v>2648.0520000000001</v>
      </c>
      <c r="D6" s="177">
        <v>3618.1779999999999</v>
      </c>
      <c r="E6" s="177">
        <v>4009.873</v>
      </c>
      <c r="F6" s="178">
        <v>4317.3149999999996</v>
      </c>
      <c r="G6" s="176">
        <f>IncomeStatement!H5</f>
        <v>4797.78</v>
      </c>
      <c r="H6" s="176">
        <f>IncomeStatement!I5</f>
        <v>5176.0200000000004</v>
      </c>
      <c r="I6" s="176">
        <f>H6*(1+$G$57)</f>
        <v>6363.5882253565433</v>
      </c>
      <c r="J6" s="176">
        <f>I6*(1+$G$57)</f>
        <v>7823.628019578061</v>
      </c>
      <c r="K6" s="176">
        <f>J6*(1+$G$57)</f>
        <v>9618.6543222314594</v>
      </c>
    </row>
    <row r="7" spans="1:12" x14ac:dyDescent="0.25">
      <c r="A7" s="96" t="s">
        <v>191</v>
      </c>
      <c r="B7" s="179">
        <v>1609.0029999999999</v>
      </c>
      <c r="C7" s="179">
        <v>2225.0340000000001</v>
      </c>
      <c r="D7" s="179">
        <v>2757.4470000000001</v>
      </c>
      <c r="E7" s="179">
        <v>3397.2179999999998</v>
      </c>
      <c r="F7" s="180">
        <v>3762.3789999999999</v>
      </c>
      <c r="G7" s="181">
        <f>IncomeStatement!H6</f>
        <v>6242.51</v>
      </c>
      <c r="H7" s="181">
        <f>IncomeStatement!I6</f>
        <v>6361.63</v>
      </c>
      <c r="I7" s="181">
        <f>(1-$G$58)*I6</f>
        <v>5283.4303375223999</v>
      </c>
      <c r="J7" s="181">
        <f>(1-$G$58)*J6</f>
        <v>6495.6424212713791</v>
      </c>
      <c r="K7" s="181">
        <f>(1-$G$58)*K6</f>
        <v>7985.9802759898566</v>
      </c>
    </row>
    <row r="8" spans="1:12" x14ac:dyDescent="0.25">
      <c r="A8" s="96" t="s">
        <v>192</v>
      </c>
      <c r="B8" s="179">
        <f>IncomeStatement!C8</f>
        <v>35.002000000000002</v>
      </c>
      <c r="C8" s="179">
        <f>IncomeStatement!D8</f>
        <v>50.176000000000002</v>
      </c>
      <c r="D8" s="179">
        <f>IncomeStatement!E8</f>
        <v>406.48500000000001</v>
      </c>
      <c r="E8" s="179">
        <f>IncomeStatement!F8</f>
        <v>79.510999999999996</v>
      </c>
      <c r="F8" s="180">
        <f>IncomeStatement!G8</f>
        <v>2.7349999999999999</v>
      </c>
      <c r="G8" s="181">
        <f>IncomeStatement!H8</f>
        <v>50</v>
      </c>
      <c r="H8" s="181">
        <f>IncomeStatement!I8</f>
        <v>50</v>
      </c>
      <c r="I8" s="181">
        <f>$G$59*I6</f>
        <v>241.42784051292523</v>
      </c>
      <c r="J8" s="181">
        <f>$G$59*J6</f>
        <v>296.82021382477433</v>
      </c>
      <c r="K8" s="181">
        <f>$G$59*K6</f>
        <v>364.92162274163263</v>
      </c>
    </row>
    <row r="9" spans="1:12" x14ac:dyDescent="0.25">
      <c r="A9" s="96" t="s">
        <v>193</v>
      </c>
      <c r="B9" s="179">
        <v>185.47800000000001</v>
      </c>
      <c r="C9" s="179">
        <v>224.20599999999999</v>
      </c>
      <c r="D9" s="179">
        <v>291.791</v>
      </c>
      <c r="E9" s="179">
        <v>379.38400000000001</v>
      </c>
      <c r="F9" s="180">
        <v>446.524</v>
      </c>
      <c r="G9" s="181">
        <f>IncomeStatement!H9</f>
        <v>2693.14</v>
      </c>
      <c r="H9" s="181">
        <f>IncomeStatement!I9</f>
        <v>2603.9</v>
      </c>
      <c r="I9" s="181">
        <f>$G$60*I6</f>
        <v>578.05707160790598</v>
      </c>
      <c r="J9" s="181">
        <f>$G$60*J6</f>
        <v>710.68449783195479</v>
      </c>
      <c r="K9" s="181">
        <f>$G$60*K6</f>
        <v>873.7415045434243</v>
      </c>
    </row>
    <row r="10" spans="1:12" ht="13.95" customHeight="1" thickBot="1" x14ac:dyDescent="0.3">
      <c r="A10" s="88" t="s">
        <v>21</v>
      </c>
      <c r="B10" s="182">
        <v>819.98599999999999</v>
      </c>
      <c r="C10" s="182">
        <v>1333.355</v>
      </c>
      <c r="D10" s="182">
        <v>1328.4079999999999</v>
      </c>
      <c r="E10" s="182">
        <v>2132.6759999999999</v>
      </c>
      <c r="F10" s="98">
        <v>2505.6970000000001</v>
      </c>
      <c r="G10" s="176">
        <f>IncomeStatement!H11</f>
        <v>2191.7199999999998</v>
      </c>
      <c r="H10" s="176">
        <f>IncomeStatement!I11</f>
        <v>2054.9299999999998</v>
      </c>
      <c r="I10" s="176">
        <f>$G$61*I6</f>
        <v>3154.6068242573392</v>
      </c>
      <c r="J10" s="176">
        <f>$G$61*J6</f>
        <v>3878.3889634262232</v>
      </c>
      <c r="K10" s="176">
        <f>$G$61*K6</f>
        <v>4768.2331870842618</v>
      </c>
    </row>
    <row r="11" spans="1:12" ht="13.95" customHeight="1" thickTop="1" x14ac:dyDescent="0.25">
      <c r="A11" s="93" t="s">
        <v>194</v>
      </c>
      <c r="B11" s="183">
        <v>0</v>
      </c>
      <c r="C11" s="183">
        <v>0</v>
      </c>
      <c r="D11" s="183">
        <v>0</v>
      </c>
      <c r="E11" s="183">
        <v>0</v>
      </c>
      <c r="F11" s="184">
        <v>0</v>
      </c>
      <c r="G11" s="185">
        <v>0</v>
      </c>
      <c r="H11" s="185">
        <v>0</v>
      </c>
      <c r="I11" s="185">
        <v>0</v>
      </c>
      <c r="J11" s="185">
        <v>0</v>
      </c>
      <c r="K11" s="185">
        <v>0</v>
      </c>
    </row>
    <row r="12" spans="1:12" ht="13.95" customHeight="1" thickBot="1" x14ac:dyDescent="0.3">
      <c r="A12" s="95" t="s">
        <v>195</v>
      </c>
      <c r="B12" s="99">
        <f>IncomeStatement!C14</f>
        <v>0</v>
      </c>
      <c r="C12" s="99">
        <f>IncomeStatement!D14</f>
        <v>0</v>
      </c>
      <c r="D12" s="99">
        <f>IncomeStatement!E14</f>
        <v>0</v>
      </c>
      <c r="E12" s="99">
        <f>IncomeStatement!F14</f>
        <v>0</v>
      </c>
      <c r="F12" s="100">
        <f>IncomeStatement!G14</f>
        <v>0</v>
      </c>
      <c r="G12" s="186">
        <f>IncomeStatement!H14</f>
        <v>0</v>
      </c>
      <c r="H12" s="186">
        <f>IncomeStatement!I14</f>
        <v>0</v>
      </c>
      <c r="I12" s="186">
        <f>H12</f>
        <v>0</v>
      </c>
      <c r="J12" s="186">
        <f>I12</f>
        <v>0</v>
      </c>
      <c r="K12" s="186">
        <f>J12</f>
        <v>0</v>
      </c>
    </row>
    <row r="13" spans="1:12" ht="13.95" customHeight="1" thickTop="1" x14ac:dyDescent="0.25">
      <c r="A13" s="93" t="s">
        <v>196</v>
      </c>
      <c r="B13" s="183">
        <f t="shared" ref="B13:K13" si="0">B11-B12</f>
        <v>0</v>
      </c>
      <c r="C13" s="183">
        <f t="shared" si="0"/>
        <v>0</v>
      </c>
      <c r="D13" s="183">
        <f t="shared" si="0"/>
        <v>0</v>
      </c>
      <c r="E13" s="183">
        <f t="shared" si="0"/>
        <v>0</v>
      </c>
      <c r="F13" s="184">
        <f t="shared" si="0"/>
        <v>0</v>
      </c>
      <c r="G13" s="185">
        <f t="shared" si="0"/>
        <v>0</v>
      </c>
      <c r="H13" s="185">
        <f t="shared" si="0"/>
        <v>0</v>
      </c>
      <c r="I13" s="185">
        <f t="shared" si="0"/>
        <v>0</v>
      </c>
      <c r="J13" s="185">
        <f t="shared" si="0"/>
        <v>0</v>
      </c>
      <c r="K13" s="185">
        <f t="shared" si="0"/>
        <v>0</v>
      </c>
    </row>
    <row r="14" spans="1:12" ht="13.95" customHeight="1" thickBot="1" x14ac:dyDescent="0.3">
      <c r="A14" s="94" t="s">
        <v>197</v>
      </c>
      <c r="B14" s="187">
        <f>IncomeStatement!C17</f>
        <v>0</v>
      </c>
      <c r="C14" s="187">
        <f>IncomeStatement!D17</f>
        <v>0</v>
      </c>
      <c r="D14" s="187">
        <f>IncomeStatement!E17</f>
        <v>0</v>
      </c>
      <c r="E14" s="187">
        <f>IncomeStatement!F17</f>
        <v>0</v>
      </c>
      <c r="F14" s="188">
        <f>IncomeStatement!G17</f>
        <v>0</v>
      </c>
      <c r="G14" s="186">
        <f>IncomeStatement!H17</f>
        <v>0</v>
      </c>
      <c r="H14" s="186">
        <f>IncomeStatement!I17</f>
        <v>0</v>
      </c>
      <c r="I14" s="186" t="e">
        <f>I13*$G$62</f>
        <v>#DIV/0!</v>
      </c>
      <c r="J14" s="186" t="e">
        <f>J13*$G$62</f>
        <v>#DIV/0!</v>
      </c>
      <c r="K14" s="186" t="e">
        <f>K13*$G$62</f>
        <v>#DIV/0!</v>
      </c>
    </row>
    <row r="15" spans="1:12" ht="13.95" customHeight="1" thickTop="1" x14ac:dyDescent="0.25">
      <c r="A15" s="93" t="s">
        <v>198</v>
      </c>
      <c r="B15" s="183">
        <f t="shared" ref="B15:K15" si="1">B13-B14</f>
        <v>0</v>
      </c>
      <c r="C15" s="183">
        <f t="shared" si="1"/>
        <v>0</v>
      </c>
      <c r="D15" s="183">
        <f t="shared" si="1"/>
        <v>0</v>
      </c>
      <c r="E15" s="183">
        <f t="shared" si="1"/>
        <v>0</v>
      </c>
      <c r="F15" s="184">
        <f t="shared" si="1"/>
        <v>0</v>
      </c>
      <c r="G15" s="185">
        <f t="shared" si="1"/>
        <v>0</v>
      </c>
      <c r="H15" s="185">
        <f t="shared" si="1"/>
        <v>0</v>
      </c>
      <c r="I15" s="185" t="e">
        <f t="shared" si="1"/>
        <v>#DIV/0!</v>
      </c>
      <c r="J15" s="185" t="e">
        <f t="shared" si="1"/>
        <v>#DIV/0!</v>
      </c>
      <c r="K15" s="185" t="e">
        <f t="shared" si="1"/>
        <v>#DIV/0!</v>
      </c>
    </row>
    <row r="16" spans="1:12" x14ac:dyDescent="0.25">
      <c r="C16" s="176"/>
      <c r="D16" s="176"/>
      <c r="E16" s="176"/>
      <c r="F16" s="176"/>
      <c r="G16" s="176"/>
      <c r="H16" s="176"/>
      <c r="I16" s="176"/>
      <c r="J16" s="176"/>
      <c r="K16" s="176"/>
    </row>
    <row r="17" spans="1:13" x14ac:dyDescent="0.25">
      <c r="C17" s="176"/>
      <c r="D17" s="176"/>
      <c r="E17" s="176"/>
      <c r="F17" s="176"/>
      <c r="G17" s="176"/>
      <c r="H17" s="176"/>
      <c r="I17" s="176"/>
      <c r="J17" s="176"/>
      <c r="K17" s="176"/>
    </row>
    <row r="18" spans="1:13" x14ac:dyDescent="0.25">
      <c r="A18" s="47" t="s">
        <v>199</v>
      </c>
      <c r="B18" s="47"/>
      <c r="C18" s="176"/>
      <c r="D18" s="176"/>
      <c r="E18" s="176"/>
      <c r="F18" s="176"/>
      <c r="G18" s="176"/>
      <c r="H18" s="176"/>
      <c r="I18" s="176"/>
      <c r="J18" s="176"/>
      <c r="K18" s="176"/>
    </row>
    <row r="19" spans="1:13" ht="13.95" customHeight="1" thickBot="1" x14ac:dyDescent="0.3">
      <c r="A19" s="92" t="s">
        <v>189</v>
      </c>
      <c r="B19" s="91" t="s">
        <v>200</v>
      </c>
      <c r="C19" s="91" t="s">
        <v>201</v>
      </c>
      <c r="D19" s="91" t="s">
        <v>202</v>
      </c>
      <c r="E19" s="91" t="s">
        <v>203</v>
      </c>
      <c r="F19" s="90" t="s">
        <v>204</v>
      </c>
      <c r="G19" s="89" t="s">
        <v>205</v>
      </c>
      <c r="H19" s="89" t="s">
        <v>206</v>
      </c>
      <c r="I19" s="89" t="s">
        <v>207</v>
      </c>
      <c r="J19" s="89" t="s">
        <v>208</v>
      </c>
      <c r="K19" s="89" t="s">
        <v>209</v>
      </c>
    </row>
    <row r="20" spans="1:13" ht="13.95" customHeight="1" thickTop="1" x14ac:dyDescent="0.25">
      <c r="A20" s="88" t="s">
        <v>210</v>
      </c>
      <c r="B20" s="177">
        <f>B11*(1-B62)</f>
        <v>0</v>
      </c>
      <c r="C20" s="177" t="e">
        <f>C11*(1-C62)</f>
        <v>#DIV/0!</v>
      </c>
      <c r="D20" s="177" t="e">
        <f>D11*(1-D62)</f>
        <v>#DIV/0!</v>
      </c>
      <c r="E20" s="177" t="e">
        <f>E11*(1-E62)</f>
        <v>#DIV/0!</v>
      </c>
      <c r="F20" s="178" t="e">
        <f>F11*(1-F62)</f>
        <v>#DIV/0!</v>
      </c>
      <c r="G20" s="176" t="e">
        <f>G11*(1-$G$62)</f>
        <v>#DIV/0!</v>
      </c>
      <c r="H20" s="176" t="e">
        <f>H11*(1-$G$62)</f>
        <v>#DIV/0!</v>
      </c>
      <c r="I20" s="176" t="e">
        <f>I11*(1-$G$62)</f>
        <v>#DIV/0!</v>
      </c>
      <c r="J20" s="176" t="e">
        <f>J11*(1-$G$62)</f>
        <v>#DIV/0!</v>
      </c>
      <c r="K20" s="176" t="e">
        <f>K11*(1-$G$62)</f>
        <v>#DIV/0!</v>
      </c>
    </row>
    <row r="21" spans="1:13" x14ac:dyDescent="0.25">
      <c r="A21" s="87" t="s">
        <v>211</v>
      </c>
      <c r="B21" s="179">
        <f t="shared" ref="B21:K21" si="2">B10</f>
        <v>819.98599999999999</v>
      </c>
      <c r="C21" s="179">
        <f t="shared" si="2"/>
        <v>1333.355</v>
      </c>
      <c r="D21" s="179">
        <f t="shared" si="2"/>
        <v>1328.4079999999999</v>
      </c>
      <c r="E21" s="179">
        <f t="shared" si="2"/>
        <v>2132.6759999999999</v>
      </c>
      <c r="F21" s="180">
        <f t="shared" si="2"/>
        <v>2505.6970000000001</v>
      </c>
      <c r="G21" s="189">
        <f t="shared" si="2"/>
        <v>2191.7199999999998</v>
      </c>
      <c r="H21" s="189">
        <f t="shared" si="2"/>
        <v>2054.9299999999998</v>
      </c>
      <c r="I21" s="189">
        <f t="shared" si="2"/>
        <v>3154.6068242573392</v>
      </c>
      <c r="J21" s="189">
        <f t="shared" si="2"/>
        <v>3878.3889634262232</v>
      </c>
      <c r="K21" s="189">
        <f t="shared" si="2"/>
        <v>4768.2331870842618</v>
      </c>
    </row>
    <row r="22" spans="1:13" x14ac:dyDescent="0.25">
      <c r="A22" s="87" t="s">
        <v>212</v>
      </c>
      <c r="B22" s="179">
        <v>3447</v>
      </c>
      <c r="C22" s="179">
        <v>3447</v>
      </c>
      <c r="D22" s="179">
        <v>165</v>
      </c>
      <c r="E22" s="179">
        <v>1193</v>
      </c>
      <c r="F22" s="180">
        <v>1922</v>
      </c>
      <c r="G22" s="189">
        <f>AVERAGE(C22:F22)</f>
        <v>1681.75</v>
      </c>
      <c r="H22" s="189">
        <f>AVERAGE(D22:G22)</f>
        <v>1240.4375</v>
      </c>
      <c r="I22" s="189">
        <f>AVERAGE(E22:H22)</f>
        <v>1509.296875</v>
      </c>
      <c r="J22" s="189">
        <f>AVERAGE(F22:I22)</f>
        <v>1588.37109375</v>
      </c>
      <c r="K22" s="189">
        <f>AVERAGE(G22:J22)</f>
        <v>1504.9638671875</v>
      </c>
    </row>
    <row r="23" spans="1:13" ht="13.95" customHeight="1" thickBot="1" x14ac:dyDescent="0.3">
      <c r="A23" s="86" t="s">
        <v>213</v>
      </c>
      <c r="B23" s="182">
        <v>13839</v>
      </c>
      <c r="C23" s="182">
        <v>13839</v>
      </c>
      <c r="D23" s="182">
        <v>1232</v>
      </c>
      <c r="E23" s="182">
        <v>5659</v>
      </c>
      <c r="F23" s="190">
        <v>3819</v>
      </c>
      <c r="G23" s="191">
        <f>F23*(1+$G$63)</f>
        <v>3971.76</v>
      </c>
      <c r="H23" s="191">
        <f>G23*(1+$G$63)</f>
        <v>4130.6304</v>
      </c>
      <c r="I23" s="191">
        <f>H23*(1+$G$63)</f>
        <v>4295.8556159999998</v>
      </c>
      <c r="J23" s="191">
        <f>I23*(1+$G$63)</f>
        <v>4467.6898406399996</v>
      </c>
      <c r="K23" s="191">
        <f>J23*(1+$G$63)</f>
        <v>4646.3974342656002</v>
      </c>
    </row>
    <row r="24" spans="1:13" ht="13.95" customHeight="1" thickTop="1" x14ac:dyDescent="0.25">
      <c r="A24" s="85" t="s">
        <v>214</v>
      </c>
      <c r="B24" s="192">
        <f t="shared" ref="B24:K24" si="3">B20+B21-B22-B23</f>
        <v>-16466.013999999999</v>
      </c>
      <c r="C24" s="192" t="e">
        <f t="shared" si="3"/>
        <v>#DIV/0!</v>
      </c>
      <c r="D24" s="192" t="e">
        <f t="shared" si="3"/>
        <v>#DIV/0!</v>
      </c>
      <c r="E24" s="192" t="e">
        <f t="shared" si="3"/>
        <v>#DIV/0!</v>
      </c>
      <c r="F24" s="193" t="e">
        <f t="shared" si="3"/>
        <v>#DIV/0!</v>
      </c>
      <c r="G24" s="194" t="e">
        <f t="shared" si="3"/>
        <v>#DIV/0!</v>
      </c>
      <c r="H24" s="194" t="e">
        <f t="shared" si="3"/>
        <v>#DIV/0!</v>
      </c>
      <c r="I24" s="194" t="e">
        <f t="shared" si="3"/>
        <v>#DIV/0!</v>
      </c>
      <c r="J24" s="194" t="e">
        <f t="shared" si="3"/>
        <v>#DIV/0!</v>
      </c>
      <c r="K24" s="194" t="e">
        <f t="shared" si="3"/>
        <v>#DIV/0!</v>
      </c>
      <c r="L24" s="195"/>
    </row>
    <row r="25" spans="1:13" ht="13.95" customHeight="1" thickBot="1" x14ac:dyDescent="0.3">
      <c r="A25" s="47"/>
      <c r="B25" s="47"/>
      <c r="C25" s="47"/>
      <c r="D25" s="47"/>
      <c r="E25" s="47"/>
      <c r="F25" s="47"/>
      <c r="G25" s="195"/>
      <c r="H25" s="45"/>
      <c r="I25" s="45"/>
      <c r="J25" s="155" t="s">
        <v>215</v>
      </c>
      <c r="K25" s="196" t="e">
        <f>$K$15*$C$70</f>
        <v>#DIV/0!</v>
      </c>
      <c r="L25" s="195"/>
    </row>
    <row r="26" spans="1:13" x14ac:dyDescent="0.25">
      <c r="K26" s="197" t="e">
        <f>SUM(K24:K25)</f>
        <v>#DIV/0!</v>
      </c>
    </row>
    <row r="27" spans="1:13" x14ac:dyDescent="0.25">
      <c r="C27" s="174"/>
      <c r="D27" s="174"/>
      <c r="E27" s="174"/>
      <c r="F27" s="174"/>
      <c r="G27" s="174"/>
      <c r="H27" s="174"/>
      <c r="I27" s="174"/>
      <c r="M27" s="174"/>
    </row>
    <row r="28" spans="1:13" x14ac:dyDescent="0.25">
      <c r="C28" s="173"/>
      <c r="D28" s="173"/>
      <c r="E28" s="219" t="s">
        <v>216</v>
      </c>
      <c r="F28" s="213"/>
      <c r="G28" s="196" t="e">
        <f>NPV(WACC!$D$13,G24,H24,I24,J24,K26)</f>
        <v>#DIV/0!</v>
      </c>
    </row>
    <row r="29" spans="1:13" ht="13.95" customHeight="1" thickBot="1" x14ac:dyDescent="0.3">
      <c r="C29" s="223" t="s">
        <v>217</v>
      </c>
      <c r="D29" s="213"/>
      <c r="E29" s="213"/>
      <c r="F29" s="213"/>
      <c r="G29" s="195">
        <f>9425-31437</f>
        <v>-22012</v>
      </c>
    </row>
    <row r="30" spans="1:13" x14ac:dyDescent="0.25">
      <c r="C30" s="173"/>
      <c r="D30" s="173"/>
      <c r="E30" s="173"/>
      <c r="F30" s="47"/>
      <c r="G30" s="198" t="e">
        <f>G28-G29</f>
        <v>#DIV/0!</v>
      </c>
    </row>
    <row r="31" spans="1:13" ht="13.95" customHeight="1" thickBot="1" x14ac:dyDescent="0.3"/>
    <row r="32" spans="1:13" ht="15" customHeight="1" thickTop="1" thickBot="1" x14ac:dyDescent="0.3">
      <c r="C32" s="173"/>
      <c r="D32" s="173"/>
      <c r="E32" s="221" t="s">
        <v>218</v>
      </c>
      <c r="F32" s="222"/>
      <c r="G32" s="199" t="e">
        <f>G30/G65</f>
        <v>#DIV/0!</v>
      </c>
    </row>
    <row r="33" spans="1:13" ht="13.95" customHeight="1" thickTop="1" x14ac:dyDescent="0.25"/>
    <row r="36" spans="1:13" x14ac:dyDescent="0.25">
      <c r="A36" s="47" t="s">
        <v>219</v>
      </c>
      <c r="B36" s="47"/>
      <c r="C36" s="176"/>
      <c r="D36" s="176"/>
      <c r="E36" s="176"/>
      <c r="F36" s="176"/>
      <c r="G36" s="176"/>
      <c r="H36" s="176"/>
      <c r="I36" s="176"/>
      <c r="J36" s="176"/>
      <c r="K36" s="176"/>
    </row>
    <row r="37" spans="1:13" ht="13.95" customHeight="1" thickBot="1" x14ac:dyDescent="0.3">
      <c r="A37" s="92" t="s">
        <v>189</v>
      </c>
      <c r="B37" s="91" t="s">
        <v>200</v>
      </c>
      <c r="C37" s="91" t="s">
        <v>201</v>
      </c>
      <c r="D37" s="91" t="s">
        <v>202</v>
      </c>
      <c r="E37" s="91" t="s">
        <v>203</v>
      </c>
      <c r="F37" s="90" t="s">
        <v>204</v>
      </c>
      <c r="G37" s="89" t="s">
        <v>205</v>
      </c>
      <c r="H37" s="89" t="s">
        <v>206</v>
      </c>
      <c r="I37" s="89" t="s">
        <v>207</v>
      </c>
      <c r="J37" s="89" t="s">
        <v>208</v>
      </c>
      <c r="K37" s="89" t="s">
        <v>209</v>
      </c>
    </row>
    <row r="38" spans="1:13" ht="13.95" customHeight="1" thickTop="1" x14ac:dyDescent="0.25">
      <c r="A38" s="88" t="s">
        <v>29</v>
      </c>
      <c r="B38" s="177">
        <f t="shared" ref="B38:K38" si="4">B15</f>
        <v>0</v>
      </c>
      <c r="C38" s="177">
        <f t="shared" si="4"/>
        <v>0</v>
      </c>
      <c r="D38" s="177">
        <f t="shared" si="4"/>
        <v>0</v>
      </c>
      <c r="E38" s="177">
        <f t="shared" si="4"/>
        <v>0</v>
      </c>
      <c r="F38" s="178">
        <f t="shared" si="4"/>
        <v>0</v>
      </c>
      <c r="G38" s="176">
        <f t="shared" si="4"/>
        <v>0</v>
      </c>
      <c r="H38" s="176">
        <f t="shared" si="4"/>
        <v>0</v>
      </c>
      <c r="I38" s="176" t="e">
        <f t="shared" si="4"/>
        <v>#DIV/0!</v>
      </c>
      <c r="J38" s="176" t="e">
        <f t="shared" si="4"/>
        <v>#DIV/0!</v>
      </c>
      <c r="K38" s="176" t="e">
        <f t="shared" si="4"/>
        <v>#DIV/0!</v>
      </c>
    </row>
    <row r="39" spans="1:13" x14ac:dyDescent="0.25">
      <c r="A39" s="87" t="s">
        <v>211</v>
      </c>
      <c r="B39" s="179">
        <f t="shared" ref="B39:K39" si="5">B10</f>
        <v>819.98599999999999</v>
      </c>
      <c r="C39" s="179">
        <f t="shared" si="5"/>
        <v>1333.355</v>
      </c>
      <c r="D39" s="179">
        <f t="shared" si="5"/>
        <v>1328.4079999999999</v>
      </c>
      <c r="E39" s="179">
        <f t="shared" si="5"/>
        <v>2132.6759999999999</v>
      </c>
      <c r="F39" s="180">
        <f t="shared" si="5"/>
        <v>2505.6970000000001</v>
      </c>
      <c r="G39" s="189">
        <f t="shared" si="5"/>
        <v>2191.7199999999998</v>
      </c>
      <c r="H39" s="189">
        <f t="shared" si="5"/>
        <v>2054.9299999999998</v>
      </c>
      <c r="I39" s="189">
        <f t="shared" si="5"/>
        <v>3154.6068242573392</v>
      </c>
      <c r="J39" s="189">
        <f t="shared" si="5"/>
        <v>3878.3889634262232</v>
      </c>
      <c r="K39" s="189">
        <f t="shared" si="5"/>
        <v>4768.2331870842618</v>
      </c>
    </row>
    <row r="40" spans="1:13" x14ac:dyDescent="0.25">
      <c r="A40" s="87" t="s">
        <v>212</v>
      </c>
      <c r="B40" s="179">
        <v>3447</v>
      </c>
      <c r="C40" s="179">
        <v>3447</v>
      </c>
      <c r="D40" s="179">
        <v>165</v>
      </c>
      <c r="E40" s="179">
        <v>1193</v>
      </c>
      <c r="F40" s="180">
        <v>1922</v>
      </c>
      <c r="G40" s="189">
        <f>AVERAGE(C40:F40)</f>
        <v>1681.75</v>
      </c>
      <c r="H40" s="189">
        <f>AVERAGE(D40:G40)</f>
        <v>1240.4375</v>
      </c>
      <c r="I40" s="189">
        <f>AVERAGE(E40:H40)</f>
        <v>1509.296875</v>
      </c>
      <c r="J40" s="189">
        <f>AVERAGE(F40:I40)</f>
        <v>1588.37109375</v>
      </c>
      <c r="K40" s="189">
        <f>AVERAGE(G40:J40)</f>
        <v>1504.9638671875</v>
      </c>
    </row>
    <row r="41" spans="1:13" ht="13.95" customHeight="1" thickBot="1" x14ac:dyDescent="0.3">
      <c r="A41" s="86" t="s">
        <v>213</v>
      </c>
      <c r="B41" s="182">
        <v>13839</v>
      </c>
      <c r="C41" s="182">
        <v>13839</v>
      </c>
      <c r="D41" s="182">
        <v>1232</v>
      </c>
      <c r="E41" s="182">
        <v>5659</v>
      </c>
      <c r="F41" s="190">
        <v>3819</v>
      </c>
      <c r="G41" s="191">
        <f>F41*(1+$G$63)</f>
        <v>3971.76</v>
      </c>
      <c r="H41" s="191">
        <f>G41*(1+$G$63)</f>
        <v>4130.6304</v>
      </c>
      <c r="I41" s="191">
        <f>H41*(1+$G$63)</f>
        <v>4295.8556159999998</v>
      </c>
      <c r="J41" s="191">
        <f>I41*(1+$G$63)</f>
        <v>4467.6898406399996</v>
      </c>
      <c r="K41" s="191">
        <f>J41*(1+$G$63)</f>
        <v>4646.3974342656002</v>
      </c>
    </row>
    <row r="42" spans="1:13" ht="13.95" customHeight="1" thickTop="1" x14ac:dyDescent="0.25">
      <c r="A42" s="85" t="s">
        <v>220</v>
      </c>
      <c r="B42" s="192">
        <f t="shared" ref="B42:K42" si="6">B38+B39-B40-B41</f>
        <v>-16466.013999999999</v>
      </c>
      <c r="C42" s="192">
        <f t="shared" si="6"/>
        <v>-15952.645</v>
      </c>
      <c r="D42" s="192">
        <f t="shared" si="6"/>
        <v>-68.592000000000098</v>
      </c>
      <c r="E42" s="192">
        <f t="shared" si="6"/>
        <v>-4719.3240000000005</v>
      </c>
      <c r="F42" s="193">
        <f t="shared" si="6"/>
        <v>-3235.3029999999999</v>
      </c>
      <c r="G42" s="194">
        <f t="shared" si="6"/>
        <v>-3461.7900000000004</v>
      </c>
      <c r="H42" s="194">
        <f t="shared" si="6"/>
        <v>-3316.1379000000002</v>
      </c>
      <c r="I42" s="194" t="e">
        <f t="shared" si="6"/>
        <v>#DIV/0!</v>
      </c>
      <c r="J42" s="194" t="e">
        <f t="shared" si="6"/>
        <v>#DIV/0!</v>
      </c>
      <c r="K42" s="194" t="e">
        <f t="shared" si="6"/>
        <v>#DIV/0!</v>
      </c>
      <c r="L42" s="195"/>
    </row>
    <row r="43" spans="1:13" ht="13.95" customHeight="1" thickBot="1" x14ac:dyDescent="0.3">
      <c r="A43" s="47"/>
      <c r="B43" s="47"/>
      <c r="C43" s="47"/>
      <c r="D43" s="47"/>
      <c r="E43" s="47"/>
      <c r="F43" s="47"/>
      <c r="G43" s="195"/>
      <c r="H43" s="195"/>
      <c r="I43" s="195"/>
      <c r="J43" s="155" t="s">
        <v>215</v>
      </c>
      <c r="K43" s="196" t="e">
        <f>$K$15*$C$70</f>
        <v>#DIV/0!</v>
      </c>
      <c r="L43" s="195"/>
    </row>
    <row r="44" spans="1:13" x14ac:dyDescent="0.25">
      <c r="K44" s="197" t="e">
        <f>SUM(K42:K43)</f>
        <v>#DIV/0!</v>
      </c>
    </row>
    <row r="45" spans="1:13" x14ac:dyDescent="0.25">
      <c r="C45" s="174"/>
      <c r="D45" s="174"/>
      <c r="E45" s="174"/>
      <c r="F45" s="174"/>
      <c r="G45" s="174"/>
      <c r="H45" s="174"/>
      <c r="I45" s="174"/>
      <c r="M45" s="174"/>
    </row>
    <row r="46" spans="1:13" x14ac:dyDescent="0.25">
      <c r="C46" s="219" t="s">
        <v>221</v>
      </c>
      <c r="D46" s="213"/>
      <c r="E46" s="213"/>
      <c r="F46" s="213"/>
      <c r="G46" s="196" t="e">
        <f>NPV(WACC!$D$7,G42,H42,I42,J42,K44)</f>
        <v>#DIV/0!</v>
      </c>
    </row>
    <row r="47" spans="1:13" ht="13.95" customHeight="1" thickBot="1" x14ac:dyDescent="0.3"/>
    <row r="48" spans="1:13" ht="15" customHeight="1" thickTop="1" thickBot="1" x14ac:dyDescent="0.3">
      <c r="C48" s="173"/>
      <c r="D48" s="173"/>
      <c r="E48" s="221" t="s">
        <v>218</v>
      </c>
      <c r="F48" s="222"/>
      <c r="G48" s="199" t="e">
        <f>G46/G65</f>
        <v>#DIV/0!</v>
      </c>
    </row>
    <row r="49" spans="1:7" ht="13.95" customHeight="1" thickTop="1" x14ac:dyDescent="0.25"/>
    <row r="55" spans="1:7" x14ac:dyDescent="0.25">
      <c r="A55" s="47" t="s">
        <v>222</v>
      </c>
      <c r="B55" s="47"/>
      <c r="D55" s="84"/>
      <c r="E55" s="84"/>
    </row>
    <row r="56" spans="1:7" x14ac:dyDescent="0.25">
      <c r="A56" s="47"/>
      <c r="B56" s="55" t="s">
        <v>200</v>
      </c>
      <c r="C56" s="55" t="s">
        <v>201</v>
      </c>
      <c r="D56" s="101" t="s">
        <v>202</v>
      </c>
      <c r="E56" s="101" t="s">
        <v>203</v>
      </c>
      <c r="F56" s="55" t="s">
        <v>204</v>
      </c>
    </row>
    <row r="57" spans="1:7" x14ac:dyDescent="0.25">
      <c r="A57" s="62" t="s">
        <v>223</v>
      </c>
      <c r="B57" s="102" t="s">
        <v>224</v>
      </c>
      <c r="C57" s="83">
        <f>C6/B6-1</f>
        <v>0.36646287091926899</v>
      </c>
      <c r="D57" s="83">
        <f>D6/C6-1</f>
        <v>0.36635458820295064</v>
      </c>
      <c r="E57" s="83">
        <f>E6/D6-1</f>
        <v>0.10825752630191232</v>
      </c>
      <c r="F57" s="83">
        <f>F6/E6-1</f>
        <v>7.6671256171953361E-2</v>
      </c>
      <c r="G57" s="80">
        <f t="shared" ref="G57:G62" si="7">AVERAGE(C57:F57)</f>
        <v>0.22943656039902133</v>
      </c>
    </row>
    <row r="58" spans="1:7" x14ac:dyDescent="0.25">
      <c r="A58" s="62" t="s">
        <v>225</v>
      </c>
      <c r="B58" s="62"/>
      <c r="C58" s="200">
        <f>(C6-C7)/C6</f>
        <v>0.15974686297701102</v>
      </c>
      <c r="D58" s="200">
        <f>(D6-D7)/D6</f>
        <v>0.2378907284274018</v>
      </c>
      <c r="E58" s="200">
        <f>(E6-E7)/E6</f>
        <v>0.15278663438966775</v>
      </c>
      <c r="F58" s="200">
        <f>(F6-F7)/F6</f>
        <v>0.1285372969079161</v>
      </c>
      <c r="G58" s="80">
        <f t="shared" si="7"/>
        <v>0.16974038067549918</v>
      </c>
    </row>
    <row r="59" spans="1:7" x14ac:dyDescent="0.25">
      <c r="A59" s="62" t="s">
        <v>226</v>
      </c>
      <c r="B59" s="62"/>
      <c r="C59" s="200">
        <f>C8/C6</f>
        <v>1.8948268387478796E-2</v>
      </c>
      <c r="D59" s="200">
        <f>D8/D6</f>
        <v>0.11234521905776887</v>
      </c>
      <c r="E59" s="200">
        <f>E8/E6</f>
        <v>1.9828807545775141E-2</v>
      </c>
      <c r="F59" s="200">
        <f>F8/F6</f>
        <v>6.3349558695624487E-4</v>
      </c>
      <c r="G59" s="80">
        <f t="shared" si="7"/>
        <v>3.7938947644494764E-2</v>
      </c>
    </row>
    <row r="60" spans="1:7" x14ac:dyDescent="0.25">
      <c r="A60" s="62" t="s">
        <v>227</v>
      </c>
      <c r="B60" s="62"/>
      <c r="C60" s="200">
        <f>C9/C6</f>
        <v>8.4668276906948947E-2</v>
      </c>
      <c r="D60" s="200">
        <f>D9/D6</f>
        <v>8.0645838872493283E-2</v>
      </c>
      <c r="E60" s="200">
        <f>E9/E6</f>
        <v>9.4612472764100009E-2</v>
      </c>
      <c r="F60" s="200">
        <f>F9/F6</f>
        <v>0.10342631936747725</v>
      </c>
      <c r="G60" s="80">
        <f t="shared" si="7"/>
        <v>9.0838226977754871E-2</v>
      </c>
    </row>
    <row r="61" spans="1:7" x14ac:dyDescent="0.25">
      <c r="A61" s="103" t="s">
        <v>228</v>
      </c>
      <c r="B61" s="62"/>
      <c r="C61" s="200">
        <f>C10/C6</f>
        <v>0.50352296707164357</v>
      </c>
      <c r="D61" s="200">
        <f>D10/D6</f>
        <v>0.36714832714145074</v>
      </c>
      <c r="E61" s="200">
        <f>E10/E6</f>
        <v>0.53185624582125168</v>
      </c>
      <c r="F61" s="200">
        <f>F10/F6</f>
        <v>0.58038317797056749</v>
      </c>
      <c r="G61" s="80">
        <f t="shared" si="7"/>
        <v>0.49572767950122837</v>
      </c>
    </row>
    <row r="62" spans="1:7" x14ac:dyDescent="0.25">
      <c r="A62" s="62" t="s">
        <v>163</v>
      </c>
      <c r="B62" s="62"/>
      <c r="C62" s="200" t="e">
        <f>C14/C13</f>
        <v>#DIV/0!</v>
      </c>
      <c r="D62" s="200" t="e">
        <f>D14/D13</f>
        <v>#DIV/0!</v>
      </c>
      <c r="E62" s="200" t="e">
        <f>E14/E13</f>
        <v>#DIV/0!</v>
      </c>
      <c r="F62" s="200" t="e">
        <f>F14/F13</f>
        <v>#DIV/0!</v>
      </c>
      <c r="G62" s="80" t="e">
        <f t="shared" si="7"/>
        <v>#DIV/0!</v>
      </c>
    </row>
    <row r="63" spans="1:7" x14ac:dyDescent="0.25">
      <c r="A63" s="62" t="s">
        <v>229</v>
      </c>
      <c r="B63" s="62"/>
      <c r="C63" s="82"/>
      <c r="D63" s="82"/>
      <c r="E63" s="82"/>
      <c r="F63" s="82"/>
      <c r="G63" s="80">
        <v>0.04</v>
      </c>
    </row>
    <row r="64" spans="1:7" x14ac:dyDescent="0.25">
      <c r="A64" s="62" t="s">
        <v>230</v>
      </c>
      <c r="B64" s="62"/>
      <c r="C64" s="78"/>
      <c r="D64" s="81"/>
      <c r="E64" s="81"/>
      <c r="F64" s="78"/>
      <c r="G64" s="80">
        <f>WACC!D13</f>
        <v>7.9528649580792365E-2</v>
      </c>
    </row>
    <row r="65" spans="1:7" x14ac:dyDescent="0.25">
      <c r="A65" s="79" t="s">
        <v>231</v>
      </c>
      <c r="B65" s="79"/>
      <c r="C65" s="78"/>
      <c r="D65" s="78"/>
      <c r="E65" s="78"/>
      <c r="F65" s="78"/>
      <c r="G65" s="77">
        <v>4976.0600000000004</v>
      </c>
    </row>
    <row r="66" spans="1:7" x14ac:dyDescent="0.25">
      <c r="A66" s="76"/>
      <c r="B66" s="76"/>
    </row>
    <row r="67" spans="1:7" x14ac:dyDescent="0.25">
      <c r="A67" s="76"/>
      <c r="B67" s="76"/>
    </row>
    <row r="68" spans="1:7" x14ac:dyDescent="0.25">
      <c r="A68" s="129" t="s">
        <v>232</v>
      </c>
      <c r="C68" s="44">
        <v>106.1</v>
      </c>
    </row>
    <row r="69" spans="1:7" x14ac:dyDescent="0.25">
      <c r="A69" s="44" t="s">
        <v>233</v>
      </c>
      <c r="C69" s="56">
        <v>1.95</v>
      </c>
    </row>
    <row r="70" spans="1:7" x14ac:dyDescent="0.25">
      <c r="A70" s="76" t="s">
        <v>234</v>
      </c>
      <c r="B70" s="76"/>
      <c r="C70" s="75">
        <f>C68/C69</f>
        <v>54.410256410256409</v>
      </c>
    </row>
  </sheetData>
  <mergeCells count="7">
    <mergeCell ref="E48:F48"/>
    <mergeCell ref="G4:K4"/>
    <mergeCell ref="B4:F4"/>
    <mergeCell ref="E32:F32"/>
    <mergeCell ref="C46:F46"/>
    <mergeCell ref="E28:F28"/>
    <mergeCell ref="C29:F29"/>
  </mergeCells>
  <pageMargins left="0.75" right="0.75" top="1" bottom="1" header="0.5" footer="0.5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myoutline">
                <anchor moveWithCells="1" sizeWithCells="1">
                  <from>
                    <xdr:col>11</xdr:col>
                    <xdr:colOff>281940</xdr:colOff>
                    <xdr:row>2</xdr:row>
                    <xdr:rowOff>38100</xdr:rowOff>
                  </from>
                  <to>
                    <xdr:col>12</xdr:col>
                    <xdr:colOff>548640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IncomeStatement">
                <anchor moveWithCells="1" sizeWithCells="1">
                  <from>
                    <xdr:col>11</xdr:col>
                    <xdr:colOff>274320</xdr:colOff>
                    <xdr:row>4</xdr:row>
                    <xdr:rowOff>60960</xdr:rowOff>
                  </from>
                  <to>
                    <xdr:col>12</xdr:col>
                    <xdr:colOff>563880</xdr:colOff>
                    <xdr:row>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BalanceSheet">
                <anchor moveWithCells="1" sizeWithCells="1">
                  <from>
                    <xdr:col>11</xdr:col>
                    <xdr:colOff>274320</xdr:colOff>
                    <xdr:row>7</xdr:row>
                    <xdr:rowOff>0</xdr:rowOff>
                  </from>
                  <to>
                    <xdr:col>12</xdr:col>
                    <xdr:colOff>563880</xdr:colOff>
                    <xdr:row>8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utton 4">
              <controlPr defaultSize="0" print="0" autoFill="0" autoPict="0" macro="[0]!Cashflow">
                <anchor moveWithCells="1" sizeWithCells="1">
                  <from>
                    <xdr:col>11</xdr:col>
                    <xdr:colOff>266700</xdr:colOff>
                    <xdr:row>9</xdr:row>
                    <xdr:rowOff>60960</xdr:rowOff>
                  </from>
                  <to>
                    <xdr:col>12</xdr:col>
                    <xdr:colOff>556260</xdr:colOff>
                    <xdr:row>11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Myoutline</vt:lpstr>
      <vt:lpstr>IncomeStatement</vt:lpstr>
      <vt:lpstr>BalanceSheet</vt:lpstr>
      <vt:lpstr>CashFlow</vt:lpstr>
      <vt:lpstr>WACC</vt:lpstr>
      <vt:lpstr>DDM</vt:lpstr>
      <vt:lpstr>DCF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Sivin</dc:creator>
  <cp:lastModifiedBy>mburu kiganya</cp:lastModifiedBy>
  <cp:lastPrinted>2016-02-04T20:12:45Z</cp:lastPrinted>
  <dcterms:created xsi:type="dcterms:W3CDTF">2013-09-13T12:27:13Z</dcterms:created>
  <dcterms:modified xsi:type="dcterms:W3CDTF">2026-02-19T14:25:11Z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=fdsSearchOrder">
    <vt:i4>1</vt:i4>
  </property>
</Properties>
</file>