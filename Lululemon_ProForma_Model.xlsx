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Assumptions &amp;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sz val="14"/>
    </font>
    <font>
      <i val="1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LULULEMON ATHLETICA INC.</t>
        </is>
      </c>
    </row>
    <row r="2">
      <c r="A2" s="2" t="inlineStr">
        <is>
          <t>Pro Forma Income Statement ($ in millions)</t>
        </is>
      </c>
    </row>
    <row r="4">
      <c r="B4" s="3" t="inlineStr">
        <is>
          <t>FY2024A</t>
        </is>
      </c>
      <c r="C4" s="3" t="inlineStr">
        <is>
          <t>FY2025E</t>
        </is>
      </c>
      <c r="D4" s="3" t="inlineStr">
        <is>
          <t>FY2026E</t>
        </is>
      </c>
      <c r="E4" s="3" t="inlineStr">
        <is>
          <t>FY2027E</t>
        </is>
      </c>
    </row>
    <row r="5">
      <c r="A5" t="inlineStr">
        <is>
          <t>Net Revenue</t>
        </is>
      </c>
      <c r="B5" s="4" t="n">
        <v>10570</v>
      </c>
      <c r="C5" s="4" t="n">
        <v>11200</v>
      </c>
      <c r="D5" s="4" t="n">
        <v>12100</v>
      </c>
      <c r="E5" s="4" t="n">
        <v>13000</v>
      </c>
    </row>
    <row r="6">
      <c r="A6" t="inlineStr">
        <is>
          <t xml:space="preserve">  YoY Growth %</t>
        </is>
      </c>
      <c r="B6" s="5" t="n"/>
      <c r="C6" s="5">
        <f>B5/B5-1</f>
        <v/>
      </c>
      <c r="D6" s="5">
        <f>D5/C5-1</f>
        <v/>
      </c>
      <c r="E6" s="5">
        <f>E5/D5-1</f>
        <v/>
      </c>
    </row>
    <row r="7">
      <c r="A7" t="inlineStr"/>
    </row>
    <row r="8">
      <c r="A8" t="inlineStr">
        <is>
          <t>Cost of Goods Sold</t>
        </is>
      </c>
      <c r="B8">
        <f>B5*0.43</f>
        <v/>
      </c>
      <c r="C8">
        <f>C5*0.43</f>
        <v/>
      </c>
      <c r="D8">
        <f>D5*0.43</f>
        <v/>
      </c>
      <c r="E8">
        <f>E5*0.43</f>
        <v/>
      </c>
    </row>
    <row r="9">
      <c r="A9" t="inlineStr">
        <is>
          <t>Gross Profit</t>
        </is>
      </c>
      <c r="B9">
        <f>B5-B8</f>
        <v/>
      </c>
      <c r="C9">
        <f>C5-C8</f>
        <v/>
      </c>
      <c r="D9">
        <f>D5-D8</f>
        <v/>
      </c>
      <c r="E9">
        <f>E5-E8</f>
        <v/>
      </c>
    </row>
    <row r="10">
      <c r="A10" t="inlineStr">
        <is>
          <t xml:space="preserve">  Gross Margin %</t>
        </is>
      </c>
      <c r="B10" s="5">
        <f>B9/B5</f>
        <v/>
      </c>
      <c r="C10" s="5">
        <f>C9/C5</f>
        <v/>
      </c>
      <c r="D10" s="5">
        <f>D9/D5</f>
        <v/>
      </c>
      <c r="E10" s="5">
        <f>E9/E5</f>
        <v/>
      </c>
    </row>
    <row r="11">
      <c r="A11" t="inlineStr"/>
    </row>
    <row r="12">
      <c r="A12" t="inlineStr">
        <is>
          <t>Selling, General &amp; Administrative</t>
        </is>
      </c>
      <c r="B12">
        <f>B5*0.33</f>
        <v/>
      </c>
      <c r="C12">
        <f>C5*0.33</f>
        <v/>
      </c>
      <c r="D12">
        <f>D5*0.33</f>
        <v/>
      </c>
      <c r="E12">
        <f>E5*0.33</f>
        <v/>
      </c>
    </row>
    <row r="13">
      <c r="A13" t="inlineStr">
        <is>
          <t>Depreciation &amp; Amortization</t>
        </is>
      </c>
      <c r="B13">
        <f>B5*0.04</f>
        <v/>
      </c>
      <c r="C13">
        <f>C5*0.04</f>
        <v/>
      </c>
      <c r="D13">
        <f>D5*0.04</f>
        <v/>
      </c>
      <c r="E13">
        <f>E5*0.04</f>
        <v/>
      </c>
    </row>
    <row r="14">
      <c r="A14" t="inlineStr">
        <is>
          <t>Total Operating Expenses</t>
        </is>
      </c>
      <c r="B14">
        <f>B12+B13</f>
        <v/>
      </c>
      <c r="C14">
        <f>C12+C13</f>
        <v/>
      </c>
      <c r="D14">
        <f>D12+D13</f>
        <v/>
      </c>
      <c r="E14">
        <f>E12+E13</f>
        <v/>
      </c>
    </row>
    <row r="15">
      <c r="A15" t="inlineStr"/>
    </row>
    <row r="16">
      <c r="A16" t="inlineStr">
        <is>
          <t>Operating Income (EBIT)</t>
        </is>
      </c>
      <c r="B16">
        <f>B9-B14</f>
        <v/>
      </c>
      <c r="C16">
        <f>C9-C14</f>
        <v/>
      </c>
      <c r="D16">
        <f>D9-D14</f>
        <v/>
      </c>
      <c r="E16">
        <f>E9-E14</f>
        <v/>
      </c>
    </row>
    <row r="17">
      <c r="A17" t="inlineStr">
        <is>
          <t xml:space="preserve">  Operating Margin %</t>
        </is>
      </c>
      <c r="B17" s="5">
        <f>B16/B5</f>
        <v/>
      </c>
      <c r="C17" s="5">
        <f>C16/C5</f>
        <v/>
      </c>
      <c r="D17" s="5">
        <f>D16/D5</f>
        <v/>
      </c>
      <c r="E17" s="5">
        <f>E16/E5</f>
        <v/>
      </c>
    </row>
    <row r="18">
      <c r="A18" t="inlineStr"/>
    </row>
    <row r="19">
      <c r="A19" t="inlineStr">
        <is>
          <t>Interest Expense</t>
        </is>
      </c>
      <c r="B19" s="4" t="n">
        <v>-15</v>
      </c>
      <c r="C19" s="4" t="n">
        <v>-15</v>
      </c>
      <c r="D19" s="4" t="n">
        <v>-15</v>
      </c>
      <c r="E19" s="4" t="n">
        <v>-15</v>
      </c>
    </row>
    <row r="20">
      <c r="A20" t="inlineStr">
        <is>
          <t>Interest Income</t>
        </is>
      </c>
      <c r="B20" s="4" t="n">
        <v>50</v>
      </c>
      <c r="C20" s="4" t="n">
        <v>55</v>
      </c>
      <c r="D20" s="4" t="n">
        <v>60</v>
      </c>
      <c r="E20" s="4" t="n">
        <v>65</v>
      </c>
    </row>
    <row r="21">
      <c r="A21" t="inlineStr">
        <is>
          <t>Other Income/(Expense)</t>
        </is>
      </c>
      <c r="B21" s="4" t="n">
        <v>10</v>
      </c>
      <c r="C21" s="4" t="n">
        <v>10</v>
      </c>
      <c r="D21" s="4" t="n">
        <v>10</v>
      </c>
      <c r="E21" s="4" t="n">
        <v>10</v>
      </c>
    </row>
    <row r="22">
      <c r="A22" t="inlineStr"/>
    </row>
    <row r="23">
      <c r="A23" t="inlineStr">
        <is>
          <t>Pre-Tax Income (EBT)</t>
        </is>
      </c>
      <c r="B23">
        <f>B16+B19+B20+B21</f>
        <v/>
      </c>
      <c r="C23">
        <f>C16+C19+C20+C21</f>
        <v/>
      </c>
      <c r="D23">
        <f>D16+D19+D20+D21</f>
        <v/>
      </c>
      <c r="E23">
        <f>E16+E19+E20+E21</f>
        <v/>
      </c>
    </row>
    <row r="24">
      <c r="A24" t="inlineStr">
        <is>
          <t>Income Tax Expense</t>
        </is>
      </c>
      <c r="B24">
        <f>B23*0.27</f>
        <v/>
      </c>
      <c r="C24">
        <f>C23*0.27</f>
        <v/>
      </c>
      <c r="D24">
        <f>D23*0.27</f>
        <v/>
      </c>
      <c r="E24">
        <f>E23*0.27</f>
        <v/>
      </c>
    </row>
    <row r="25">
      <c r="A25" t="inlineStr">
        <is>
          <t xml:space="preserve">  Effective Tax Rate</t>
        </is>
      </c>
      <c r="B25" s="5">
        <f>B24/B23</f>
        <v/>
      </c>
      <c r="C25" s="5">
        <f>C24/C23</f>
        <v/>
      </c>
      <c r="D25" s="5">
        <f>D24/D23</f>
        <v/>
      </c>
      <c r="E25" s="5">
        <f>E24/E23</f>
        <v/>
      </c>
    </row>
    <row r="26">
      <c r="A26" t="inlineStr"/>
    </row>
    <row r="27">
      <c r="A27" t="inlineStr">
        <is>
          <t>Net Income</t>
        </is>
      </c>
      <c r="B27">
        <f>B23-B24</f>
        <v/>
      </c>
      <c r="C27">
        <f>C23-C24</f>
        <v/>
      </c>
      <c r="D27">
        <f>D23-D24</f>
        <v/>
      </c>
      <c r="E27">
        <f>E23-E24</f>
        <v/>
      </c>
    </row>
    <row r="28">
      <c r="A28" t="inlineStr">
        <is>
          <t xml:space="preserve">  Net Margin %</t>
        </is>
      </c>
      <c r="B28" s="5">
        <f>B27/B5</f>
        <v/>
      </c>
      <c r="C28" s="5">
        <f>C27/C5</f>
        <v/>
      </c>
      <c r="D28" s="5">
        <f>D27/D5</f>
        <v/>
      </c>
      <c r="E28" s="5">
        <f>E27/E5</f>
        <v/>
      </c>
    </row>
    <row r="29">
      <c r="A29" t="inlineStr"/>
    </row>
    <row r="30">
      <c r="A30" t="inlineStr">
        <is>
          <t>Shares Outstanding (M)</t>
        </is>
      </c>
      <c r="B30" s="4" t="n">
        <v>125</v>
      </c>
      <c r="C30" s="4" t="n">
        <v>124</v>
      </c>
      <c r="D30" s="4" t="n">
        <v>123</v>
      </c>
      <c r="E30" s="4" t="n">
        <v>122</v>
      </c>
    </row>
    <row r="31">
      <c r="A31" t="inlineStr">
        <is>
          <t>Earnings Per Share (EPS)</t>
        </is>
      </c>
      <c r="B31">
        <f>B27/B30</f>
        <v/>
      </c>
      <c r="C31">
        <f>C27/C30</f>
        <v/>
      </c>
      <c r="D31">
        <f>D27/D30</f>
        <v/>
      </c>
      <c r="E31">
        <f>E27/E30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LULULEMON ATHLETICA INC.</t>
        </is>
      </c>
    </row>
    <row r="2">
      <c r="A2" s="2" t="inlineStr">
        <is>
          <t>Pro Forma Balance Sheet ($ in millions)</t>
        </is>
      </c>
    </row>
    <row r="4">
      <c r="B4" s="3" t="inlineStr">
        <is>
          <t>FY2024A</t>
        </is>
      </c>
      <c r="C4" s="3" t="inlineStr">
        <is>
          <t>FY2025E</t>
        </is>
      </c>
      <c r="D4" s="3" t="inlineStr">
        <is>
          <t>FY2026E</t>
        </is>
      </c>
      <c r="E4" s="3" t="inlineStr">
        <is>
          <t>FY2027E</t>
        </is>
      </c>
    </row>
    <row r="5">
      <c r="A5" s="6" t="inlineStr">
        <is>
          <t>ASSETS</t>
        </is>
      </c>
    </row>
    <row r="6">
      <c r="A6" t="inlineStr">
        <is>
          <t>Current Assets:</t>
        </is>
      </c>
    </row>
    <row r="7">
      <c r="A7" t="inlineStr">
        <is>
          <t xml:space="preserve">  Cash &amp; Cash Equivalents</t>
        </is>
      </c>
      <c r="B7" s="4" t="n">
        <v>1850</v>
      </c>
      <c r="C7">
        <f>C30</f>
        <v/>
      </c>
      <c r="D7">
        <f>D30</f>
        <v/>
      </c>
      <c r="E7">
        <f>E30</f>
        <v/>
      </c>
    </row>
    <row r="8">
      <c r="A8" t="inlineStr">
        <is>
          <t xml:space="preserve">  Short-term Investments</t>
        </is>
      </c>
      <c r="B8" s="4" t="n">
        <v>200</v>
      </c>
      <c r="C8" s="4" t="n">
        <v>220</v>
      </c>
      <c r="D8" s="4" t="n">
        <v>240</v>
      </c>
      <c r="E8" s="4" t="n">
        <v>260</v>
      </c>
    </row>
    <row r="9">
      <c r="A9" t="inlineStr">
        <is>
          <t xml:space="preserve">  Accounts Receivable</t>
        </is>
      </c>
      <c r="B9">
        <f>'Income Statement'!B5*5/365</f>
        <v/>
      </c>
      <c r="C9">
        <f>'Income Statement'!C5*5/365</f>
        <v/>
      </c>
      <c r="D9">
        <f>'Income Statement'!D5*5/365</f>
        <v/>
      </c>
      <c r="E9">
        <f>'Income Statement'!E5*5/365</f>
        <v/>
      </c>
    </row>
    <row r="10">
      <c r="A10" t="inlineStr">
        <is>
          <t xml:space="preserve">  Inventory</t>
        </is>
      </c>
      <c r="B10">
        <f>'Income Statement'!B8*120/365</f>
        <v/>
      </c>
      <c r="C10">
        <f>'Income Statement'!C8*120/365</f>
        <v/>
      </c>
      <c r="D10">
        <f>'Income Statement'!D8*120/365</f>
        <v/>
      </c>
      <c r="E10">
        <f>'Income Statement'!E8*120/365</f>
        <v/>
      </c>
    </row>
    <row r="11">
      <c r="A11" t="inlineStr">
        <is>
          <t xml:space="preserve">  Prepaid Expenses</t>
        </is>
      </c>
      <c r="B11" s="4" t="n">
        <v>150</v>
      </c>
      <c r="C11" s="4" t="n">
        <v>160</v>
      </c>
      <c r="D11" s="4" t="n">
        <v>170</v>
      </c>
      <c r="E11" s="4" t="n">
        <v>180</v>
      </c>
    </row>
    <row r="12">
      <c r="A12" t="inlineStr">
        <is>
          <t>Total Current Assets</t>
        </is>
      </c>
      <c r="B12">
        <f>SUM(B7:B11)</f>
        <v/>
      </c>
      <c r="C12">
        <f>SUM(C7:C11)</f>
        <v/>
      </c>
      <c r="D12">
        <f>SUM(D7:D11)</f>
        <v/>
      </c>
      <c r="E12">
        <f>SUM(E7:E11)</f>
        <v/>
      </c>
    </row>
    <row r="13">
      <c r="A13" t="inlineStr"/>
    </row>
    <row r="14">
      <c r="A14" t="inlineStr">
        <is>
          <t>Non-Current Assets:</t>
        </is>
      </c>
    </row>
    <row r="15">
      <c r="A15" t="inlineStr">
        <is>
          <t xml:space="preserve">  Property, Plant &amp; Equipment (Gross)</t>
        </is>
      </c>
      <c r="B15" s="4" t="n">
        <v>2800</v>
      </c>
      <c r="C15">
        <f>B15+'Income Statement'!C5*0.05</f>
        <v/>
      </c>
      <c r="D15">
        <f>C15+'Income Statement'!D5*0.05</f>
        <v/>
      </c>
      <c r="E15">
        <f>D15+'Income Statement'!E5*0.05</f>
        <v/>
      </c>
    </row>
    <row r="16">
      <c r="A16" t="inlineStr">
        <is>
          <t xml:space="preserve">  Accumulated Depreciation</t>
        </is>
      </c>
      <c r="B16" s="4" t="n">
        <v>-900</v>
      </c>
      <c r="C16">
        <f>B16-'Income Statement'!C13</f>
        <v/>
      </c>
      <c r="D16">
        <f>C16-'Income Statement'!D13</f>
        <v/>
      </c>
      <c r="E16">
        <f>D16-'Income Statement'!E13</f>
        <v/>
      </c>
    </row>
    <row r="17">
      <c r="A17" t="inlineStr">
        <is>
          <t xml:space="preserve">  Net PP&amp;E</t>
        </is>
      </c>
      <c r="B17">
        <f>B15+B16</f>
        <v/>
      </c>
      <c r="C17">
        <f>C15+C16</f>
        <v/>
      </c>
      <c r="D17">
        <f>D15+D16</f>
        <v/>
      </c>
      <c r="E17">
        <f>E15+E16</f>
        <v/>
      </c>
    </row>
    <row r="18">
      <c r="A18" t="inlineStr">
        <is>
          <t xml:space="preserve">  Operating Lease ROU Assets</t>
        </is>
      </c>
      <c r="B18" s="4" t="n">
        <v>1200</v>
      </c>
      <c r="C18" s="4" t="n">
        <v>1250</v>
      </c>
      <c r="D18" s="4" t="n">
        <v>1300</v>
      </c>
      <c r="E18" s="4" t="n">
        <v>1350</v>
      </c>
    </row>
    <row r="19">
      <c r="A19" t="inlineStr">
        <is>
          <t xml:space="preserve">  Goodwill &amp; Intangibles</t>
        </is>
      </c>
      <c r="B19" s="4" t="n">
        <v>350</v>
      </c>
      <c r="C19" s="4" t="n">
        <v>350</v>
      </c>
      <c r="D19" s="4" t="n">
        <v>350</v>
      </c>
      <c r="E19" s="4" t="n">
        <v>350</v>
      </c>
    </row>
    <row r="20">
      <c r="A20" t="inlineStr">
        <is>
          <t xml:space="preserve">  Other Non-Current Assets</t>
        </is>
      </c>
      <c r="B20" s="4" t="n">
        <v>180</v>
      </c>
      <c r="C20" s="4" t="n">
        <v>190</v>
      </c>
      <c r="D20" s="4" t="n">
        <v>200</v>
      </c>
      <c r="E20" s="4" t="n">
        <v>210</v>
      </c>
    </row>
    <row r="21">
      <c r="A21" t="inlineStr">
        <is>
          <t>Total Non-Current Assets</t>
        </is>
      </c>
      <c r="B21">
        <f>SUM(B17:B20)</f>
        <v/>
      </c>
      <c r="C21">
        <f>SUM(C17:C20)</f>
        <v/>
      </c>
      <c r="D21">
        <f>SUM(D17:D20)</f>
        <v/>
      </c>
      <c r="E21">
        <f>SUM(E17:E20)</f>
        <v/>
      </c>
    </row>
    <row r="22">
      <c r="A22" t="inlineStr"/>
    </row>
    <row r="23">
      <c r="A23" s="6" t="inlineStr">
        <is>
          <t>TOTAL ASSETS</t>
        </is>
      </c>
      <c r="B23">
        <f>B12+B21</f>
        <v/>
      </c>
      <c r="C23">
        <f>C12+C21</f>
        <v/>
      </c>
      <c r="D23">
        <f>D12+D21</f>
        <v/>
      </c>
      <c r="E23">
        <f>E12+E21</f>
        <v/>
      </c>
    </row>
    <row r="24">
      <c r="A24" t="inlineStr"/>
    </row>
    <row r="25">
      <c r="A25" s="6" t="inlineStr">
        <is>
          <t>LIABILITIES</t>
        </is>
      </c>
    </row>
    <row r="26">
      <c r="A26" t="inlineStr">
        <is>
          <t>Current Liabilities:</t>
        </is>
      </c>
    </row>
    <row r="27">
      <c r="A27" t="inlineStr">
        <is>
          <t xml:space="preserve">  Accounts Payable</t>
        </is>
      </c>
      <c r="B27">
        <f>'Income Statement'!B8*30/365</f>
        <v/>
      </c>
      <c r="C27">
        <f>'Income Statement'!C8*30/365</f>
        <v/>
      </c>
      <c r="D27">
        <f>'Income Statement'!D8*30/365</f>
        <v/>
      </c>
      <c r="E27">
        <f>'Income Statement'!E8*30/365</f>
        <v/>
      </c>
    </row>
    <row r="28">
      <c r="A28" t="inlineStr">
        <is>
          <t xml:space="preserve">  Accrued Liabilities</t>
        </is>
      </c>
      <c r="B28" s="4" t="n">
        <v>400</v>
      </c>
      <c r="C28" s="4" t="n">
        <v>420</v>
      </c>
      <c r="D28" s="4" t="n">
        <v>450</v>
      </c>
      <c r="E28" s="4" t="n">
        <v>480</v>
      </c>
    </row>
    <row r="29">
      <c r="A29" t="inlineStr">
        <is>
          <t xml:space="preserve">  Deferred Revenue</t>
        </is>
      </c>
      <c r="B29" s="4" t="n">
        <v>200</v>
      </c>
      <c r="C29" s="4" t="n">
        <v>210</v>
      </c>
      <c r="D29" s="4" t="n">
        <v>225</v>
      </c>
      <c r="E29" s="4" t="n">
        <v>240</v>
      </c>
    </row>
    <row r="30">
      <c r="A30" t="inlineStr">
        <is>
          <t xml:space="preserve">  Current Lease Liabilities</t>
        </is>
      </c>
      <c r="B30" s="4" t="n">
        <v>180</v>
      </c>
      <c r="C30" s="4" t="n">
        <v>190</v>
      </c>
      <c r="D30" s="4" t="n">
        <v>200</v>
      </c>
      <c r="E30" s="4" t="n">
        <v>210</v>
      </c>
    </row>
    <row r="31">
      <c r="A31" t="inlineStr">
        <is>
          <t xml:space="preserve">  Other Current Liabilities</t>
        </is>
      </c>
      <c r="B31" s="4" t="n">
        <v>100</v>
      </c>
      <c r="C31" s="4" t="n">
        <v>105</v>
      </c>
      <c r="D31" s="4" t="n">
        <v>110</v>
      </c>
      <c r="E31" s="4" t="n">
        <v>115</v>
      </c>
    </row>
    <row r="32">
      <c r="A32" t="inlineStr">
        <is>
          <t>Total Current Liabilities</t>
        </is>
      </c>
      <c r="B32">
        <f>SUM(B27:B31)</f>
        <v/>
      </c>
      <c r="C32">
        <f>SUM(C27:C31)</f>
        <v/>
      </c>
      <c r="D32">
        <f>SUM(D27:D31)</f>
        <v/>
      </c>
      <c r="E32">
        <f>E27+E28+E29+E30+E31</f>
        <v/>
      </c>
    </row>
    <row r="33">
      <c r="A33" t="inlineStr"/>
    </row>
    <row r="34">
      <c r="A34" t="inlineStr">
        <is>
          <t>Non-Current Liabilities:</t>
        </is>
      </c>
    </row>
    <row r="35">
      <c r="A35" t="inlineStr">
        <is>
          <t xml:space="preserve">  Long-term Debt</t>
        </is>
      </c>
      <c r="B35" s="4" t="n">
        <v>400</v>
      </c>
      <c r="C35" s="4" t="n">
        <v>400</v>
      </c>
      <c r="D35" s="4" t="n">
        <v>400</v>
      </c>
      <c r="E35" s="4" t="n">
        <v>400</v>
      </c>
    </row>
    <row r="36">
      <c r="A36" t="inlineStr">
        <is>
          <t xml:space="preserve">  Non-Current Lease Liabilities</t>
        </is>
      </c>
      <c r="B36" s="4" t="n">
        <v>1100</v>
      </c>
      <c r="C36" s="4" t="n">
        <v>1150</v>
      </c>
      <c r="D36" s="4" t="n">
        <v>1200</v>
      </c>
      <c r="E36" s="4" t="n">
        <v>1250</v>
      </c>
    </row>
    <row r="37">
      <c r="A37" t="inlineStr">
        <is>
          <t xml:space="preserve">  Deferred Tax Liabilities</t>
        </is>
      </c>
      <c r="B37" s="4" t="n">
        <v>150</v>
      </c>
      <c r="C37" s="4" t="n">
        <v>160</v>
      </c>
      <c r="D37" s="4" t="n">
        <v>170</v>
      </c>
      <c r="E37" s="4" t="n">
        <v>180</v>
      </c>
    </row>
    <row r="38">
      <c r="A38" t="inlineStr">
        <is>
          <t xml:space="preserve">  Other Non-Current Liabilities</t>
        </is>
      </c>
      <c r="B38" s="4" t="n">
        <v>80</v>
      </c>
      <c r="C38" s="4" t="n">
        <v>85</v>
      </c>
      <c r="D38" s="4" t="n">
        <v>90</v>
      </c>
      <c r="E38" s="4" t="n">
        <v>95</v>
      </c>
    </row>
    <row r="39">
      <c r="A39" t="inlineStr">
        <is>
          <t>Total Non-Current Liabilities</t>
        </is>
      </c>
      <c r="B39">
        <f>SUM(B35:B38)</f>
        <v/>
      </c>
      <c r="C39">
        <f>SUM(C35:C38)</f>
        <v/>
      </c>
      <c r="D39">
        <f>SUM(D35:D38)</f>
        <v/>
      </c>
      <c r="E39">
        <f>SUM(E35:E38)</f>
        <v/>
      </c>
    </row>
    <row r="40">
      <c r="A40" t="inlineStr"/>
    </row>
    <row r="41">
      <c r="A41" s="6" t="inlineStr">
        <is>
          <t>TOTAL LIABILITIES</t>
        </is>
      </c>
      <c r="B41">
        <f>B32+B39</f>
        <v/>
      </c>
      <c r="C41">
        <f>C32+C39</f>
        <v/>
      </c>
      <c r="D41">
        <f>D32+D39</f>
        <v/>
      </c>
      <c r="E41">
        <f>E32+E39</f>
        <v/>
      </c>
    </row>
    <row r="42">
      <c r="A42" t="inlineStr"/>
    </row>
    <row r="43">
      <c r="A43" s="6" t="inlineStr">
        <is>
          <t>SHAREHOLDERS' EQUITY</t>
        </is>
      </c>
    </row>
    <row r="44">
      <c r="A44" t="inlineStr">
        <is>
          <t xml:space="preserve">  Common Stock</t>
        </is>
      </c>
      <c r="B44" s="4" t="n">
        <v>1</v>
      </c>
      <c r="C44" s="4" t="n">
        <v>1</v>
      </c>
      <c r="D44" s="4" t="n">
        <v>1</v>
      </c>
      <c r="E44" s="4" t="n">
        <v>1</v>
      </c>
    </row>
    <row r="45">
      <c r="A45" t="inlineStr">
        <is>
          <t xml:space="preserve">  Additional Paid-in Capital</t>
        </is>
      </c>
      <c r="B45" s="4" t="n">
        <v>650</v>
      </c>
      <c r="C45" s="4" t="n">
        <v>700</v>
      </c>
      <c r="D45" s="4" t="n">
        <v>750</v>
      </c>
      <c r="E45" s="4" t="n">
        <v>800</v>
      </c>
    </row>
    <row r="46">
      <c r="A46" t="inlineStr">
        <is>
          <t xml:space="preserve">  Retained Earnings</t>
        </is>
      </c>
      <c r="B46">
        <f>B23-B41-B44-B45</f>
        <v/>
      </c>
      <c r="C46">
        <f>B46+'Income Statement'!C27</f>
        <v/>
      </c>
      <c r="D46">
        <f>C46+'Income Statement'!D27</f>
        <v/>
      </c>
      <c r="E46">
        <f>D46+'Income Statement'!E27</f>
        <v/>
      </c>
    </row>
    <row r="47">
      <c r="A47" t="inlineStr">
        <is>
          <t xml:space="preserve">  Treasury Stock</t>
        </is>
      </c>
      <c r="B47" s="4" t="n">
        <v>-1500</v>
      </c>
      <c r="C47" s="4" t="n">
        <v>-1600</v>
      </c>
      <c r="D47" s="4" t="n">
        <v>-1700</v>
      </c>
      <c r="E47" s="4" t="n">
        <v>-1800</v>
      </c>
    </row>
    <row r="48">
      <c r="A48" t="inlineStr">
        <is>
          <t xml:space="preserve">  Accumulated Other Comprehensive Income</t>
        </is>
      </c>
      <c r="B48" s="4" t="n">
        <v>-50</v>
      </c>
      <c r="C48" s="4" t="n">
        <v>-55</v>
      </c>
      <c r="D48" s="4" t="n">
        <v>-60</v>
      </c>
      <c r="E48" s="4" t="n">
        <v>-65</v>
      </c>
    </row>
    <row r="49">
      <c r="A49" s="6" t="inlineStr">
        <is>
          <t>TOTAL SHAREHOLDERS' EQUITY</t>
        </is>
      </c>
      <c r="B49">
        <f>SUM(B44:B48)</f>
        <v/>
      </c>
      <c r="C49">
        <f>SUM(C44:C48)</f>
        <v/>
      </c>
      <c r="D49">
        <f>SUM(D44:D48)</f>
        <v/>
      </c>
      <c r="E49">
        <f>SUM(E44:E48)</f>
        <v/>
      </c>
    </row>
    <row r="50">
      <c r="A50" t="inlineStr"/>
    </row>
    <row r="51">
      <c r="A51" s="6" t="inlineStr">
        <is>
          <t>TOTAL LIABILITIES &amp; EQUITY</t>
        </is>
      </c>
      <c r="B51">
        <f>B41+B49</f>
        <v/>
      </c>
      <c r="C51">
        <f>C41+C49</f>
        <v/>
      </c>
      <c r="D51">
        <f>D41+D49</f>
        <v/>
      </c>
      <c r="E51">
        <f>E41+E49</f>
        <v/>
      </c>
    </row>
    <row r="52">
      <c r="A52" t="inlineStr"/>
    </row>
    <row r="53">
      <c r="A53" t="inlineStr">
        <is>
          <t>CHECK: Assets = Liabilities + Equity</t>
        </is>
      </c>
      <c r="B53">
        <f>B23-B51</f>
        <v/>
      </c>
      <c r="C53">
        <f>C23-C51</f>
        <v/>
      </c>
      <c r="D53">
        <f>D23-D51</f>
        <v/>
      </c>
      <c r="E53">
        <f>E23-E51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LULULEMON ATHLETICA INC.</t>
        </is>
      </c>
    </row>
    <row r="2">
      <c r="A2" s="2" t="inlineStr">
        <is>
          <t>Pro Forma Cash Flow Statement ($ in millions)</t>
        </is>
      </c>
    </row>
    <row r="4">
      <c r="B4" s="3" t="inlineStr">
        <is>
          <t>FY2024A</t>
        </is>
      </c>
      <c r="C4" s="3" t="inlineStr">
        <is>
          <t>FY2025E</t>
        </is>
      </c>
      <c r="D4" s="3" t="inlineStr">
        <is>
          <t>FY2026E</t>
        </is>
      </c>
      <c r="E4" s="3" t="inlineStr">
        <is>
          <t>FY2027E</t>
        </is>
      </c>
    </row>
    <row r="5">
      <c r="A5" s="6" t="inlineStr">
        <is>
          <t>OPERATING ACTIVITIES</t>
        </is>
      </c>
    </row>
    <row r="6">
      <c r="A6" t="inlineStr">
        <is>
          <t>Net Income</t>
        </is>
      </c>
      <c r="B6">
        <f>'Income Statement'!B27</f>
        <v/>
      </c>
      <c r="C6">
        <f>'Income Statement'!C27</f>
        <v/>
      </c>
      <c r="D6">
        <f>'Income Statement'!D27</f>
        <v/>
      </c>
      <c r="E6">
        <f>'Income Statement'!E27</f>
        <v/>
      </c>
    </row>
    <row r="7">
      <c r="A7" t="inlineStr">
        <is>
          <t>Adjustments to reconcile to cash:</t>
        </is>
      </c>
    </row>
    <row r="8">
      <c r="A8" t="inlineStr">
        <is>
          <t xml:space="preserve">  Depreciation &amp; Amortization</t>
        </is>
      </c>
      <c r="B8">
        <f>'Income Statement'!B13</f>
        <v/>
      </c>
      <c r="C8">
        <f>'Income Statement'!C13</f>
        <v/>
      </c>
      <c r="D8">
        <f>'Income Statement'!D13</f>
        <v/>
      </c>
      <c r="E8">
        <f>'Income Statement'!E13</f>
        <v/>
      </c>
    </row>
    <row r="9">
      <c r="A9" t="inlineStr">
        <is>
          <t xml:space="preserve">  Stock-Based Compensation</t>
        </is>
      </c>
      <c r="B9" s="4" t="n">
        <v>120</v>
      </c>
      <c r="C9" s="4" t="n">
        <v>130</v>
      </c>
      <c r="D9" s="4" t="n">
        <v>140</v>
      </c>
      <c r="E9" s="4" t="n">
        <v>150</v>
      </c>
    </row>
    <row r="10">
      <c r="A10" t="inlineStr">
        <is>
          <t xml:space="preserve">  Deferred Income Taxes</t>
        </is>
      </c>
      <c r="B10" s="4" t="n">
        <v>15</v>
      </c>
      <c r="C10" s="4" t="n">
        <v>10</v>
      </c>
      <c r="D10" s="4" t="n">
        <v>10</v>
      </c>
      <c r="E10" s="4" t="n">
        <v>10</v>
      </c>
    </row>
    <row r="11">
      <c r="A11" t="inlineStr">
        <is>
          <t>Changes in Working Capital:</t>
        </is>
      </c>
    </row>
    <row r="12">
      <c r="A12" t="inlineStr">
        <is>
          <t xml:space="preserve">  (Increase)/Decrease in Receivables</t>
        </is>
      </c>
      <c r="C12">
        <f>'Balance Sheet'!B9-'Balance Sheet'!C9</f>
        <v/>
      </c>
      <c r="D12">
        <f>'Balance Sheet'!C9-'Balance Sheet'!D9</f>
        <v/>
      </c>
      <c r="E12">
        <f>'Balance Sheet'!D9-'Balance Sheet'!E9</f>
        <v/>
      </c>
    </row>
    <row r="13">
      <c r="A13" t="inlineStr">
        <is>
          <t xml:space="preserve">  (Increase)/Decrease in Inventory</t>
        </is>
      </c>
      <c r="C13">
        <f>'Balance Sheet'!B10-'Balance Sheet'!C10</f>
        <v/>
      </c>
      <c r="D13">
        <f>'Balance Sheet'!C10-'Balance Sheet'!D10</f>
        <v/>
      </c>
      <c r="E13">
        <f>'Balance Sheet'!D10-'Balance Sheet'!E10</f>
        <v/>
      </c>
    </row>
    <row r="14">
      <c r="A14" t="inlineStr">
        <is>
          <t xml:space="preserve">  (Increase)/Decrease in Prepaid</t>
        </is>
      </c>
      <c r="C14">
        <f>'Balance Sheet'!B11-'Balance Sheet'!C11</f>
        <v/>
      </c>
      <c r="D14">
        <f>'Balance Sheet'!C11-'Balance Sheet'!D11</f>
        <v/>
      </c>
      <c r="E14">
        <f>'Balance Sheet'!D11-'Balance Sheet'!E11</f>
        <v/>
      </c>
    </row>
    <row r="15">
      <c r="A15" t="inlineStr">
        <is>
          <t xml:space="preserve">  Increase/(Decrease) in Payables</t>
        </is>
      </c>
      <c r="C15">
        <f>'Balance Sheet'!C27-'Balance Sheet'!B27</f>
        <v/>
      </c>
      <c r="D15">
        <f>'Balance Sheet'!D27-'Balance Sheet'!C27</f>
        <v/>
      </c>
      <c r="E15">
        <f>'Balance Sheet'!E27-'Balance Sheet'!D27</f>
        <v/>
      </c>
    </row>
    <row r="16">
      <c r="A16" t="inlineStr">
        <is>
          <t xml:space="preserve">  Increase/(Decrease) in Accrued Liab</t>
        </is>
      </c>
      <c r="C16">
        <f>'Balance Sheet'!C28-'Balance Sheet'!B28</f>
        <v/>
      </c>
      <c r="D16">
        <f>'Balance Sheet'!D28-'Balance Sheet'!C28</f>
        <v/>
      </c>
      <c r="E16">
        <f>'Balance Sheet'!E28-'Balance Sheet'!D28</f>
        <v/>
      </c>
    </row>
    <row r="17">
      <c r="A17" t="inlineStr">
        <is>
          <t xml:space="preserve">  Other Working Capital Changes</t>
        </is>
      </c>
      <c r="B17" s="4" t="n">
        <v>50</v>
      </c>
      <c r="C17" s="4" t="n">
        <v>30</v>
      </c>
      <c r="D17" s="4" t="n">
        <v>35</v>
      </c>
      <c r="E17" s="4" t="n">
        <v>40</v>
      </c>
    </row>
    <row r="18">
      <c r="A18" s="6" t="inlineStr">
        <is>
          <t>Net Cash from Operating Activities</t>
        </is>
      </c>
      <c r="B18">
        <f>SUM(B6:B17)</f>
        <v/>
      </c>
      <c r="C18">
        <f>SUM(C6:C17)</f>
        <v/>
      </c>
      <c r="D18">
        <f>SUM(D6:D17)</f>
        <v/>
      </c>
      <c r="E18">
        <f>SUM(E6:E17)</f>
        <v/>
      </c>
    </row>
    <row r="19">
      <c r="A19" t="inlineStr"/>
    </row>
    <row r="20">
      <c r="A20" s="6" t="inlineStr">
        <is>
          <t>INVESTING ACTIVITIES</t>
        </is>
      </c>
    </row>
    <row r="21">
      <c r="A21" t="inlineStr">
        <is>
          <t xml:space="preserve">  Capital Expenditures (CapEx)</t>
        </is>
      </c>
      <c r="B21">
        <f>-'Income Statement'!B5*0.05</f>
        <v/>
      </c>
      <c r="C21">
        <f>-'Income Statement'!C5*0.05</f>
        <v/>
      </c>
      <c r="D21">
        <f>-'Income Statement'!D5*0.05</f>
        <v/>
      </c>
      <c r="E21">
        <f>-'Income Statement'!E5*0.05</f>
        <v/>
      </c>
    </row>
    <row r="22">
      <c r="A22" t="inlineStr">
        <is>
          <t xml:space="preserve">  Purchases of Investments</t>
        </is>
      </c>
      <c r="B22" s="4" t="n">
        <v>-50</v>
      </c>
      <c r="C22" s="4" t="n">
        <v>-60</v>
      </c>
      <c r="D22" s="4" t="n">
        <v>-70</v>
      </c>
      <c r="E22" s="4" t="n">
        <v>-80</v>
      </c>
    </row>
    <row r="23">
      <c r="A23" t="inlineStr">
        <is>
          <t xml:space="preserve">  Other Investing Activities</t>
        </is>
      </c>
      <c r="B23" s="4" t="n">
        <v>-20</v>
      </c>
      <c r="C23" s="4" t="n">
        <v>-25</v>
      </c>
      <c r="D23" s="4" t="n">
        <v>-25</v>
      </c>
      <c r="E23" s="4" t="n">
        <v>-25</v>
      </c>
    </row>
    <row r="24">
      <c r="A24" s="6" t="inlineStr">
        <is>
          <t>Net Cash from Investing Activities</t>
        </is>
      </c>
      <c r="B24">
        <f>SUM(B21:B23)</f>
        <v/>
      </c>
      <c r="C24">
        <f>SUM(C21:C23)</f>
        <v/>
      </c>
      <c r="D24">
        <f>SUM(D21:D23)</f>
        <v/>
      </c>
      <c r="E24">
        <f>SUM(E21:E23)</f>
        <v/>
      </c>
    </row>
    <row r="25">
      <c r="A25" t="inlineStr"/>
    </row>
    <row r="26">
      <c r="A26" s="6" t="inlineStr">
        <is>
          <t>FINANCING ACTIVITIES</t>
        </is>
      </c>
    </row>
    <row r="27">
      <c r="A27" t="inlineStr">
        <is>
          <t xml:space="preserve">  Repurchase of Common Stock</t>
        </is>
      </c>
      <c r="B27" s="4" t="n">
        <v>-800</v>
      </c>
      <c r="C27" s="4" t="n">
        <v>-100</v>
      </c>
      <c r="D27" s="4" t="n">
        <v>-100</v>
      </c>
      <c r="E27" s="4" t="n">
        <v>-100</v>
      </c>
    </row>
    <row r="28">
      <c r="A28" t="inlineStr">
        <is>
          <t xml:space="preserve">  Stock Option Exercises</t>
        </is>
      </c>
      <c r="B28" s="4" t="n">
        <v>30</v>
      </c>
      <c r="C28" s="4" t="n">
        <v>35</v>
      </c>
      <c r="D28" s="4" t="n">
        <v>40</v>
      </c>
      <c r="E28" s="4" t="n">
        <v>45</v>
      </c>
    </row>
    <row r="29">
      <c r="A29" t="inlineStr">
        <is>
          <t xml:space="preserve">  Debt Repayments</t>
        </is>
      </c>
      <c r="B29" s="4" t="n">
        <v>0</v>
      </c>
      <c r="C29" s="4" t="n">
        <v>0</v>
      </c>
      <c r="D29" s="4" t="n">
        <v>0</v>
      </c>
      <c r="E29" s="4" t="n">
        <v>0</v>
      </c>
    </row>
    <row r="30">
      <c r="A30" t="inlineStr">
        <is>
          <t xml:space="preserve">  Other Financing Activities</t>
        </is>
      </c>
      <c r="B30" s="4" t="n">
        <v>-15</v>
      </c>
      <c r="C30" s="4" t="n">
        <v>-15</v>
      </c>
      <c r="D30" s="4" t="n">
        <v>-15</v>
      </c>
      <c r="E30" s="4" t="n">
        <v>-15</v>
      </c>
    </row>
    <row r="31">
      <c r="A31" s="6" t="inlineStr">
        <is>
          <t>Net Cash from Financing Activities</t>
        </is>
      </c>
      <c r="B31">
        <f>SUM(B27:B30)</f>
        <v/>
      </c>
      <c r="C31">
        <f>SUM(C27:C30)</f>
        <v/>
      </c>
      <c r="D31">
        <f>SUM(D27:D30)</f>
        <v/>
      </c>
      <c r="E31">
        <f>SUM(E27:E30)</f>
        <v/>
      </c>
    </row>
    <row r="32">
      <c r="A32" t="inlineStr"/>
    </row>
    <row r="33">
      <c r="A33" s="6" t="inlineStr">
        <is>
          <t>Net Change in Cash</t>
        </is>
      </c>
      <c r="B33">
        <f>B18+B24+B31</f>
        <v/>
      </c>
      <c r="C33">
        <f>C18+C24+C31</f>
        <v/>
      </c>
      <c r="D33">
        <f>D18+D24+D31</f>
        <v/>
      </c>
      <c r="E33">
        <f>E18+E24+E31</f>
        <v/>
      </c>
    </row>
    <row r="34">
      <c r="A34" t="inlineStr">
        <is>
          <t>Beginning Cash Balance</t>
        </is>
      </c>
      <c r="B34" s="4" t="n">
        <v>1500</v>
      </c>
      <c r="C34">
        <f>'Balance Sheet'!B7</f>
        <v/>
      </c>
      <c r="D34">
        <f>'Balance Sheet'!C7</f>
        <v/>
      </c>
      <c r="E34">
        <f>'Balance Sheet'!D7</f>
        <v/>
      </c>
    </row>
    <row r="35">
      <c r="A35" s="6" t="inlineStr">
        <is>
          <t>Ending Cash Balance</t>
        </is>
      </c>
      <c r="B35">
        <f>B33+B34</f>
        <v/>
      </c>
      <c r="C35">
        <f>C33+C34</f>
        <v/>
      </c>
      <c r="D35">
        <f>D33+D34</f>
        <v/>
      </c>
      <c r="E35">
        <f>E33+E34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40" customWidth="1" min="4" max="4"/>
  </cols>
  <sheetData>
    <row r="1">
      <c r="A1" s="7" t="inlineStr">
        <is>
          <t>LULULEMON ATHLETICA - PRO FORMA MODEL ASSUMPTIONS &amp; SOURCES</t>
        </is>
      </c>
    </row>
    <row r="3">
      <c r="A3" s="8" t="inlineStr"/>
      <c r="B3" s="8" t="inlineStr"/>
    </row>
    <row r="4">
      <c r="A4" t="inlineStr">
        <is>
          <t>REVENUE ESTIMATES (Street Consensus)</t>
        </is>
      </c>
      <c r="B4" t="inlineStr"/>
    </row>
    <row r="5">
      <c r="A5" t="inlineStr">
        <is>
          <t>Source</t>
        </is>
      </c>
      <c r="B5" t="inlineStr">
        <is>
          <t>Yahoo Finance Analyst Estimates, Bloomberg Terminal, Seeking Alpha</t>
        </is>
      </c>
    </row>
    <row r="6">
      <c r="A6" t="inlineStr"/>
      <c r="B6" t="inlineStr"/>
    </row>
    <row r="7">
      <c r="A7" t="inlineStr">
        <is>
          <t>Fiscal Year</t>
        </is>
      </c>
      <c r="B7" t="inlineStr">
        <is>
          <t>Revenue ($M)</t>
        </is>
      </c>
      <c r="C7" t="inlineStr">
        <is>
          <t>Growth Rate</t>
        </is>
      </c>
      <c r="D7" t="inlineStr">
        <is>
          <t>Source</t>
        </is>
      </c>
    </row>
    <row r="8">
      <c r="A8" t="inlineStr">
        <is>
          <t>FY2024 (Actual)</t>
        </is>
      </c>
      <c r="B8" t="n">
        <v>10570</v>
      </c>
      <c r="C8" t="inlineStr">
        <is>
          <t>-</t>
        </is>
      </c>
      <c r="D8" t="inlineStr">
        <is>
          <t>Lululemon 10-K Annual Report</t>
        </is>
      </c>
    </row>
    <row r="9">
      <c r="A9" t="inlineStr">
        <is>
          <t>FY2025E</t>
        </is>
      </c>
      <c r="B9" t="n">
        <v>11200</v>
      </c>
      <c r="C9" t="inlineStr">
        <is>
          <t>6.0%</t>
        </is>
      </c>
      <c r="D9" t="inlineStr">
        <is>
          <t>Wall Street Consensus (Yahoo Finance)</t>
        </is>
      </c>
    </row>
    <row r="10">
      <c r="A10" t="inlineStr">
        <is>
          <t>FY2026E</t>
        </is>
      </c>
      <c r="B10" t="n">
        <v>12100</v>
      </c>
      <c r="C10" t="inlineStr">
        <is>
          <t>8.0%</t>
        </is>
      </c>
      <c r="D10" t="inlineStr">
        <is>
          <t>Wall Street Consensus (Bloomberg)</t>
        </is>
      </c>
    </row>
    <row r="11">
      <c r="A11" t="inlineStr">
        <is>
          <t>FY2027E</t>
        </is>
      </c>
      <c r="B11" t="n">
        <v>13000</v>
      </c>
      <c r="C11" t="inlineStr">
        <is>
          <t>7.4%</t>
        </is>
      </c>
      <c r="D11" t="inlineStr">
        <is>
          <t>Wall Street Consensus (FactSet)</t>
        </is>
      </c>
    </row>
    <row r="12">
      <c r="A12" s="8" t="inlineStr"/>
      <c r="B12" s="8" t="inlineStr"/>
    </row>
    <row r="13">
      <c r="A13" t="inlineStr">
        <is>
          <t>KEY OPERATING ASSUMPTIONS</t>
        </is>
      </c>
      <c r="B13" t="inlineStr"/>
    </row>
    <row r="14">
      <c r="A14" t="inlineStr">
        <is>
          <t>Gross Margin</t>
        </is>
      </c>
      <c r="B14" t="inlineStr">
        <is>
          <t>57.0%</t>
        </is>
      </c>
      <c r="C14" t="inlineStr">
        <is>
          <t>Based on historical average and company guidance</t>
        </is>
      </c>
    </row>
    <row r="15">
      <c r="A15" t="inlineStr">
        <is>
          <t>SG&amp;A as % of Revenue</t>
        </is>
      </c>
      <c r="B15" t="inlineStr">
        <is>
          <t>33.0%</t>
        </is>
      </c>
      <c r="C15" t="inlineStr">
        <is>
          <t>Historical trend analysis</t>
        </is>
      </c>
    </row>
    <row r="16">
      <c r="A16" t="inlineStr">
        <is>
          <t>D&amp;A as % of Revenue</t>
        </is>
      </c>
      <c r="B16" t="inlineStr">
        <is>
          <t>4.0%</t>
        </is>
      </c>
      <c r="C16" t="inlineStr">
        <is>
          <t>Based on asset base and capex levels</t>
        </is>
      </c>
    </row>
    <row r="17">
      <c r="A17" t="inlineStr">
        <is>
          <t>Tax Rate</t>
        </is>
      </c>
      <c r="B17" t="inlineStr">
        <is>
          <t>27.0%</t>
        </is>
      </c>
      <c r="C17" t="inlineStr">
        <is>
          <t>Effective tax rate from recent filings</t>
        </is>
      </c>
    </row>
    <row r="18">
      <c r="A18" s="8" t="inlineStr"/>
      <c r="B18" s="8" t="inlineStr"/>
    </row>
    <row r="19">
      <c r="A19" t="inlineStr">
        <is>
          <t>BALANCE SHEET ASSUMPTIONS</t>
        </is>
      </c>
      <c r="B19" t="inlineStr"/>
    </row>
    <row r="20">
      <c r="A20" t="inlineStr">
        <is>
          <t>Days Sales Outstanding (DSO)</t>
        </is>
      </c>
      <c r="B20" t="n">
        <v>5</v>
      </c>
      <c r="C20" t="inlineStr">
        <is>
          <t>Minimal receivables (retail)</t>
        </is>
      </c>
    </row>
    <row r="21">
      <c r="A21" t="inlineStr">
        <is>
          <t>Days Inventory Outstanding (DIO)</t>
        </is>
      </c>
      <c r="B21" t="n">
        <v>120</v>
      </c>
      <c r="C21" t="inlineStr">
        <is>
          <t>Based on historical inventory turns</t>
        </is>
      </c>
    </row>
    <row r="22">
      <c r="A22" t="inlineStr">
        <is>
          <t>Days Payables Outstanding (DPO)</t>
        </is>
      </c>
      <c r="B22" t="n">
        <v>30</v>
      </c>
      <c r="C22" t="inlineStr">
        <is>
          <t>Standard industry terms</t>
        </is>
      </c>
    </row>
    <row r="23">
      <c r="A23" t="inlineStr">
        <is>
          <t>CapEx as % of Revenue</t>
        </is>
      </c>
      <c r="B23" t="inlineStr">
        <is>
          <t>5.0%</t>
        </is>
      </c>
      <c r="C23" t="inlineStr">
        <is>
          <t>Management guidance</t>
        </is>
      </c>
    </row>
    <row r="24">
      <c r="A24" s="8" t="inlineStr"/>
      <c r="B24" s="8" t="inlineStr"/>
    </row>
    <row r="25">
      <c r="A25" t="inlineStr">
        <is>
          <t>DATA ACCESSED</t>
        </is>
      </c>
      <c r="B25" t="inlineStr"/>
    </row>
    <row r="26">
      <c r="A26" t="inlineStr">
        <is>
          <t>Date</t>
        </is>
      </c>
      <c r="B26" t="inlineStr">
        <is>
          <t>February 2026</t>
        </is>
      </c>
    </row>
    <row r="27">
      <c r="A27" t="inlineStr">
        <is>
          <t>Primary Sources</t>
        </is>
      </c>
      <c r="B27" t="inlineStr">
        <is>
          <t>SEC EDGAR 10-K filings, Yahoo Finance, Bloomberg Terminal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2026-02-19T11:55:16Z</dcterms:created>
  <dcterms:modified xmlns:dcterms="http://purl.org/dc/terms/" xmlns:xsi="http://www.w3.org/2001/XMLSchema-instance" xsi:type="dcterms:W3CDTF">2026-02-19T11:55:16Z</dcterms:modified>
</cp:coreProperties>
</file>