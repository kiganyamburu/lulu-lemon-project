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Assumptions &amp;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9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sz val="12"/>
    </font>
    <font>
      <b val="1"/>
      <sz val="14"/>
    </font>
    <font>
      <i val="1"/>
    </font>
    <font>
      <i val="1"/>
      <color rgb="00666666"/>
      <sz val="9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164" fontId="0" fillId="3" borderId="0" pivotButton="0" quotePrefix="0" xfId="0"/>
    <xf numFmtId="164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LULULEMON ATHLETICA INC.</t>
        </is>
      </c>
    </row>
    <row r="2">
      <c r="A2" s="2" t="inlineStr">
        <is>
          <t>Pro Forma Income Statement ($ in millions)</t>
        </is>
      </c>
    </row>
    <row r="3">
      <c r="A3" s="3" t="inlineStr">
        <is>
          <t>Source: Bloomberg Terminal</t>
        </is>
      </c>
    </row>
    <row r="5">
      <c r="B5" s="4" t="inlineStr">
        <is>
          <t>FY2023A</t>
        </is>
      </c>
      <c r="C5" s="4" t="inlineStr">
        <is>
          <t>FY2024A</t>
        </is>
      </c>
      <c r="D5" s="4" t="inlineStr">
        <is>
          <t>FY2025A</t>
        </is>
      </c>
      <c r="E5" s="4" t="inlineStr">
        <is>
          <t>FY2026E</t>
        </is>
      </c>
      <c r="F5" s="4" t="inlineStr">
        <is>
          <t>FY2027E</t>
        </is>
      </c>
      <c r="G5" s="4" t="inlineStr">
        <is>
          <t>FY2028E</t>
        </is>
      </c>
    </row>
    <row r="6">
      <c r="A6" s="5" t="inlineStr">
        <is>
          <t>Net Revenue</t>
        </is>
      </c>
      <c r="B6" s="6" t="n">
        <v>8110.518</v>
      </c>
      <c r="C6" s="6" t="n">
        <v>9619.278</v>
      </c>
      <c r="D6" s="6" t="n">
        <v>10588.126</v>
      </c>
      <c r="E6" s="7" t="n">
        <v>11040.29</v>
      </c>
      <c r="F6" s="7" t="n">
        <v>11537.65</v>
      </c>
      <c r="G6" s="7" t="n">
        <v>12190.48</v>
      </c>
    </row>
    <row r="7">
      <c r="A7" t="inlineStr">
        <is>
          <t xml:space="preserve">  YoY Growth %</t>
        </is>
      </c>
      <c r="B7" s="8" t="n">
        <v>0.296</v>
      </c>
      <c r="C7" s="8" t="n">
        <v>0.186</v>
      </c>
      <c r="D7" s="8" t="n">
        <v>0.101</v>
      </c>
      <c r="E7" s="9" t="n">
        <v>0.043</v>
      </c>
      <c r="F7" s="9" t="n">
        <v>0.045</v>
      </c>
      <c r="G7" s="9" t="n">
        <v>0.057</v>
      </c>
    </row>
    <row r="8">
      <c r="A8" t="inlineStr"/>
      <c r="B8" s="10" t="n"/>
      <c r="C8" s="10" t="n"/>
      <c r="D8" s="10" t="n"/>
      <c r="E8" s="11" t="n"/>
      <c r="F8" s="11" t="n"/>
      <c r="G8" s="11" t="n"/>
    </row>
    <row r="9">
      <c r="A9" t="inlineStr">
        <is>
          <t>Cost of Goods Sold</t>
        </is>
      </c>
      <c r="B9" s="6" t="n">
        <v>3618.178</v>
      </c>
      <c r="C9" s="6" t="n">
        <v>4009.873</v>
      </c>
      <c r="D9" s="6" t="n">
        <v>4317.315</v>
      </c>
      <c r="E9" s="11">
        <f>B6*(1-0.566)</f>
        <v/>
      </c>
      <c r="F9" s="11">
        <f>C6*(1-0.551)</f>
        <v/>
      </c>
      <c r="G9" s="11">
        <f>D6*(1-0.555)</f>
        <v/>
      </c>
    </row>
    <row r="10">
      <c r="A10" s="5" t="inlineStr">
        <is>
          <t>Gross Profit</t>
        </is>
      </c>
      <c r="B10" s="6" t="n">
        <v>4492.34</v>
      </c>
      <c r="C10" s="6" t="n">
        <v>5609.405</v>
      </c>
      <c r="D10" s="6" t="n">
        <v>6270.811</v>
      </c>
      <c r="E10" s="7" t="n">
        <v>6242.51</v>
      </c>
      <c r="F10" s="7" t="n">
        <v>6361.63</v>
      </c>
      <c r="G10" s="7" t="n">
        <v>6762.06</v>
      </c>
    </row>
    <row r="11">
      <c r="A11" t="inlineStr">
        <is>
          <t xml:space="preserve">  Gross Margin %</t>
        </is>
      </c>
      <c r="B11" s="8" t="n">
        <v>0.554</v>
      </c>
      <c r="C11" s="8" t="n">
        <v>0.583</v>
      </c>
      <c r="D11" s="8" t="n">
        <v>0.592</v>
      </c>
      <c r="E11" s="9" t="n">
        <v>0.5659999999999999</v>
      </c>
      <c r="F11" s="9" t="n">
        <v>0.551</v>
      </c>
      <c r="G11" s="9" t="n">
        <v>0.555</v>
      </c>
    </row>
    <row r="12">
      <c r="A12" t="inlineStr"/>
      <c r="B12" s="10" t="n"/>
      <c r="C12" s="10" t="n"/>
      <c r="D12" s="10" t="n"/>
      <c r="E12" s="11" t="n"/>
      <c r="F12" s="11" t="n"/>
      <c r="G12" s="11" t="n"/>
    </row>
    <row r="13">
      <c r="A13" t="inlineStr">
        <is>
          <t>Selling, General &amp; Admin</t>
        </is>
      </c>
      <c r="B13" s="6" t="n">
        <v>2757.447</v>
      </c>
      <c r="C13" s="6" t="n">
        <v>3397.218</v>
      </c>
      <c r="D13" s="6" t="n">
        <v>3762.379</v>
      </c>
      <c r="E13" s="11">
        <f>E6*0.355</f>
        <v/>
      </c>
      <c r="F13" s="11">
        <f>F6*0.355</f>
        <v/>
      </c>
      <c r="G13" s="11">
        <f>G6*0.355</f>
        <v/>
      </c>
    </row>
    <row r="14">
      <c r="A14" t="inlineStr">
        <is>
          <t>Depreciation &amp; Amortization</t>
        </is>
      </c>
      <c r="B14" s="6" t="n">
        <v>291.791</v>
      </c>
      <c r="C14" s="6" t="n">
        <v>379.384</v>
      </c>
      <c r="D14" s="6" t="n">
        <v>446.524</v>
      </c>
      <c r="E14" s="11">
        <f>E6*0.042</f>
        <v/>
      </c>
      <c r="F14" s="11">
        <f>F6*0.042</f>
        <v/>
      </c>
      <c r="G14" s="11">
        <f>G6*0.042</f>
        <v/>
      </c>
    </row>
    <row r="15">
      <c r="A15" t="inlineStr">
        <is>
          <t>Other Operating Expense</t>
        </is>
      </c>
      <c r="B15" s="6" t="n">
        <v>406.485</v>
      </c>
      <c r="C15" s="6" t="n">
        <v>79.511</v>
      </c>
      <c r="D15" s="6" t="n">
        <v>2.735</v>
      </c>
      <c r="E15" s="7" t="n">
        <v>50</v>
      </c>
      <c r="F15" s="7" t="n">
        <v>50</v>
      </c>
      <c r="G15" s="7" t="n">
        <v>50</v>
      </c>
    </row>
    <row r="16">
      <c r="A16" s="5" t="inlineStr">
        <is>
          <t>Total Operating Expenses</t>
        </is>
      </c>
      <c r="B16" s="10">
        <f>B13+B14+B15</f>
        <v/>
      </c>
      <c r="C16" s="10">
        <f>C13+C14+C15</f>
        <v/>
      </c>
      <c r="D16" s="10">
        <f>D13+D14+D15</f>
        <v/>
      </c>
      <c r="E16" s="11">
        <f>E13+E14+E15</f>
        <v/>
      </c>
      <c r="F16" s="11">
        <f>F13+F14+F15</f>
        <v/>
      </c>
      <c r="G16" s="11">
        <f>G13+G14+G15</f>
        <v/>
      </c>
    </row>
    <row r="17">
      <c r="A17" t="inlineStr"/>
      <c r="B17" s="10" t="n"/>
      <c r="C17" s="10" t="n"/>
      <c r="D17" s="10" t="n"/>
      <c r="E17" s="11" t="n"/>
      <c r="F17" s="11" t="n"/>
      <c r="G17" s="11" t="n"/>
    </row>
    <row r="18">
      <c r="A18" s="5" t="inlineStr">
        <is>
          <t>Operating Income (EBIT)</t>
        </is>
      </c>
      <c r="B18" s="6" t="n">
        <v>1328.408</v>
      </c>
      <c r="C18" s="6" t="n">
        <v>2132.676</v>
      </c>
      <c r="D18" s="6" t="n">
        <v>2505.697</v>
      </c>
      <c r="E18" s="7" t="n">
        <v>2191.72</v>
      </c>
      <c r="F18" s="7" t="n">
        <v>2054.93</v>
      </c>
      <c r="G18" s="7" t="n">
        <v>2198.35</v>
      </c>
    </row>
    <row r="19">
      <c r="A19" t="inlineStr">
        <is>
          <t xml:space="preserve">  Operating Margin %</t>
        </is>
      </c>
      <c r="B19" s="8" t="n">
        <v>0.164</v>
      </c>
      <c r="C19" s="8" t="n">
        <v>0.222</v>
      </c>
      <c r="D19" s="8" t="n">
        <v>0.237</v>
      </c>
      <c r="E19" s="9" t="n">
        <v>0.199</v>
      </c>
      <c r="F19" s="9" t="n">
        <v>0.178</v>
      </c>
      <c r="G19" s="9" t="n">
        <v>0.18</v>
      </c>
    </row>
    <row r="20">
      <c r="A20" t="inlineStr"/>
      <c r="B20" s="10" t="n"/>
      <c r="C20" s="10" t="n"/>
      <c r="D20" s="10" t="n"/>
      <c r="E20" s="11" t="n"/>
      <c r="F20" s="11" t="n"/>
      <c r="G20" s="11" t="n"/>
    </row>
    <row r="21">
      <c r="A21" t="inlineStr">
        <is>
          <t>Other Income/(Expense)</t>
        </is>
      </c>
      <c r="B21" s="6" t="n">
        <v>401.896</v>
      </c>
      <c r="C21" s="6" t="n">
        <v>117.56</v>
      </c>
      <c r="D21" s="6" t="n">
        <v>70.38</v>
      </c>
      <c r="E21" s="7" t="n">
        <v>70</v>
      </c>
      <c r="F21" s="7" t="n">
        <v>70</v>
      </c>
      <c r="G21" s="7" t="n">
        <v>70</v>
      </c>
    </row>
    <row r="22">
      <c r="A22" t="inlineStr"/>
      <c r="B22" s="10" t="n"/>
      <c r="C22" s="10" t="n"/>
      <c r="D22" s="10" t="n"/>
      <c r="E22" s="11" t="n"/>
      <c r="F22" s="11" t="n"/>
      <c r="G22" s="11" t="n"/>
    </row>
    <row r="23">
      <c r="A23" s="5" t="inlineStr">
        <is>
          <t>Pre-Tax Income (EBT)</t>
        </is>
      </c>
      <c r="B23" s="6" t="n">
        <v>1730.304</v>
      </c>
      <c r="C23" s="6" t="n">
        <v>2250.236</v>
      </c>
      <c r="D23" s="6" t="n">
        <v>2576.077</v>
      </c>
      <c r="E23" s="11">
        <f>E18+E21</f>
        <v/>
      </c>
      <c r="F23" s="11">
        <f>F18+F21</f>
        <v/>
      </c>
      <c r="G23" s="11">
        <f>G18+G21</f>
        <v/>
      </c>
    </row>
    <row r="24">
      <c r="A24" t="inlineStr">
        <is>
          <t>Income Tax Expense</t>
        </is>
      </c>
      <c r="B24" s="10">
        <f>B23*0.296</f>
        <v/>
      </c>
      <c r="C24" s="10">
        <f>C23*0.296</f>
        <v/>
      </c>
      <c r="D24" s="10">
        <f>D23*0.296</f>
        <v/>
      </c>
      <c r="E24" s="11">
        <f>E23*0.296</f>
        <v/>
      </c>
      <c r="F24" s="11">
        <f>F23*0.296</f>
        <v/>
      </c>
      <c r="G24" s="11">
        <f>G23*0.296</f>
        <v/>
      </c>
    </row>
    <row r="25">
      <c r="A25" t="inlineStr">
        <is>
          <t xml:space="preserve">  Effective Tax Rate</t>
        </is>
      </c>
      <c r="B25" s="8" t="n">
        <v>0.296</v>
      </c>
      <c r="C25" s="8" t="n">
        <v>0.296</v>
      </c>
      <c r="D25" s="8" t="n">
        <v>0.296</v>
      </c>
      <c r="E25" s="9" t="n">
        <v>0.296</v>
      </c>
      <c r="F25" s="9" t="n">
        <v>0.296</v>
      </c>
      <c r="G25" s="9" t="n">
        <v>0.296</v>
      </c>
    </row>
    <row r="26">
      <c r="A26" t="inlineStr"/>
      <c r="B26" s="10" t="n"/>
      <c r="C26" s="10" t="n"/>
      <c r="D26" s="10" t="n"/>
      <c r="E26" s="11" t="n"/>
      <c r="F26" s="11" t="n"/>
      <c r="G26" s="11" t="n"/>
    </row>
    <row r="27">
      <c r="A27" s="5" t="inlineStr">
        <is>
          <t>Net Income</t>
        </is>
      </c>
      <c r="B27" s="6" t="n">
        <v>854.8</v>
      </c>
      <c r="C27" s="6" t="n">
        <v>1550.19</v>
      </c>
      <c r="D27" s="6" t="n">
        <v>1814.616</v>
      </c>
      <c r="E27" s="7" t="n">
        <v>1554.16</v>
      </c>
      <c r="F27" s="7" t="n">
        <v>1463.32</v>
      </c>
      <c r="G27" s="7" t="n">
        <v>1561.62</v>
      </c>
    </row>
    <row r="28">
      <c r="A28" t="inlineStr">
        <is>
          <t xml:space="preserve">  Net Margin %</t>
        </is>
      </c>
      <c r="B28" s="8" t="n">
        <v>0.105</v>
      </c>
      <c r="C28" s="8" t="n">
        <v>0.161</v>
      </c>
      <c r="D28" s="8" t="n">
        <v>0.171</v>
      </c>
      <c r="E28" s="9" t="n">
        <v>0.141</v>
      </c>
      <c r="F28" s="9" t="n">
        <v>0.127</v>
      </c>
      <c r="G28" s="9" t="n">
        <v>0.128</v>
      </c>
    </row>
    <row r="29">
      <c r="A29" t="inlineStr"/>
      <c r="B29" s="10" t="n"/>
      <c r="C29" s="10" t="n"/>
      <c r="D29" s="10" t="n"/>
      <c r="E29" s="11" t="n"/>
      <c r="F29" s="11" t="n"/>
      <c r="G29" s="11" t="n"/>
    </row>
    <row r="30">
      <c r="A30" t="inlineStr">
        <is>
          <t>Diluted Shares Outstanding (M)</t>
        </is>
      </c>
      <c r="B30" s="6" t="n">
        <v>128</v>
      </c>
      <c r="C30" s="6" t="n">
        <v>127</v>
      </c>
      <c r="D30" s="6" t="n">
        <v>124</v>
      </c>
      <c r="E30" s="7" t="n">
        <v>119</v>
      </c>
      <c r="F30" s="7" t="n">
        <v>116</v>
      </c>
      <c r="G30" s="7" t="n">
        <v>114</v>
      </c>
    </row>
    <row r="31">
      <c r="A31" t="inlineStr">
        <is>
          <t>Diluted EPS ($)</t>
        </is>
      </c>
      <c r="B31" s="6" t="n">
        <v>6.68</v>
      </c>
      <c r="C31" s="6" t="n">
        <v>12.2</v>
      </c>
      <c r="D31" s="6" t="n">
        <v>14.64</v>
      </c>
      <c r="E31" s="7" t="n">
        <v>13.05</v>
      </c>
      <c r="F31" s="7" t="n">
        <v>12.64</v>
      </c>
      <c r="G31" s="7" t="n">
        <v>13.72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LULULEMON ATHLETICA INC.</t>
        </is>
      </c>
    </row>
    <row r="2">
      <c r="A2" s="2" t="inlineStr">
        <is>
          <t>Pro Forma Balance Sheet ($ in millions)</t>
        </is>
      </c>
    </row>
    <row r="3">
      <c r="A3" s="3" t="inlineStr">
        <is>
          <t>Source: Bloomberg Terminal</t>
        </is>
      </c>
    </row>
    <row r="5">
      <c r="B5" s="4" t="inlineStr">
        <is>
          <t>FY2023A</t>
        </is>
      </c>
      <c r="C5" s="4" t="inlineStr">
        <is>
          <t>FY2024A</t>
        </is>
      </c>
      <c r="D5" s="4" t="inlineStr">
        <is>
          <t>FY2025A</t>
        </is>
      </c>
      <c r="E5" s="4" t="inlineStr">
        <is>
          <t>FY2026E</t>
        </is>
      </c>
      <c r="F5" s="4" t="inlineStr">
        <is>
          <t>FY2027E</t>
        </is>
      </c>
      <c r="G5" s="4" t="inlineStr">
        <is>
          <t>FY2028E</t>
        </is>
      </c>
    </row>
    <row r="6">
      <c r="A6" s="5" t="inlineStr">
        <is>
          <t>ASSETS</t>
        </is>
      </c>
      <c r="B6" s="10" t="n"/>
      <c r="C6" s="10" t="n"/>
      <c r="D6" s="10" t="n"/>
      <c r="E6" s="11" t="n"/>
      <c r="F6" s="11" t="n"/>
      <c r="G6" s="11" t="n"/>
    </row>
    <row r="7">
      <c r="A7" t="inlineStr">
        <is>
          <t>Current Assets:</t>
        </is>
      </c>
      <c r="B7" s="10" t="n"/>
      <c r="C7" s="10" t="n"/>
      <c r="D7" s="10" t="n"/>
      <c r="E7" s="11" t="n"/>
      <c r="F7" s="11" t="n"/>
      <c r="G7" s="11" t="n"/>
    </row>
    <row r="8">
      <c r="A8" t="inlineStr">
        <is>
          <t xml:space="preserve">  Cash &amp; Cash Equivalents</t>
        </is>
      </c>
      <c r="B8" s="6" t="n">
        <v>1154.867</v>
      </c>
      <c r="C8" s="6" t="n">
        <v>2243.971</v>
      </c>
      <c r="D8" s="6" t="n">
        <v>1984.336</v>
      </c>
      <c r="E8" s="11">
        <f>G41</f>
        <v/>
      </c>
      <c r="F8" s="11">
        <f>H41</f>
        <v/>
      </c>
      <c r="G8" s="11">
        <f>I41</f>
        <v/>
      </c>
    </row>
    <row r="9">
      <c r="A9" t="inlineStr">
        <is>
          <t xml:space="preserve">  Accounts Receivable</t>
        </is>
      </c>
      <c r="B9" s="6" t="n">
        <v>132.906</v>
      </c>
      <c r="C9" s="6" t="n">
        <v>124.769</v>
      </c>
      <c r="D9" s="6" t="n">
        <v>120.173</v>
      </c>
      <c r="E9" s="7" t="n">
        <v>125.3</v>
      </c>
      <c r="F9" s="7" t="n">
        <v>130.9</v>
      </c>
      <c r="G9" s="7" t="n">
        <v>138.4</v>
      </c>
    </row>
    <row r="10">
      <c r="A10" t="inlineStr">
        <is>
          <t xml:space="preserve">  Inventory</t>
        </is>
      </c>
      <c r="B10" s="6" t="n">
        <v>1447.367</v>
      </c>
      <c r="C10" s="6" t="n">
        <v>1323.602</v>
      </c>
      <c r="D10" s="6" t="n">
        <v>1442.081</v>
      </c>
      <c r="E10" s="7" t="n">
        <v>1503.7</v>
      </c>
      <c r="F10" s="7" t="n">
        <v>1571.4</v>
      </c>
      <c r="G10" s="7" t="n">
        <v>1660.3</v>
      </c>
    </row>
    <row r="11">
      <c r="A11" t="inlineStr">
        <is>
          <t xml:space="preserve">  Prepaid &amp; Other Current Assets</t>
        </is>
      </c>
      <c r="B11" s="6" t="n">
        <v>424.313</v>
      </c>
      <c r="C11" s="6" t="n">
        <v>368.235</v>
      </c>
      <c r="D11" s="6" t="n">
        <v>433.712</v>
      </c>
      <c r="E11" s="7" t="n">
        <v>452.2</v>
      </c>
      <c r="F11" s="7" t="n">
        <v>472.6</v>
      </c>
      <c r="G11" s="7" t="n">
        <v>499.3</v>
      </c>
    </row>
    <row r="12">
      <c r="A12" s="5" t="inlineStr">
        <is>
          <t>Total Current Assets</t>
        </is>
      </c>
      <c r="B12" s="10">
        <f>SUM(B8:B11)</f>
        <v/>
      </c>
      <c r="C12" s="10">
        <f>SUM(C8:C11)</f>
        <v/>
      </c>
      <c r="D12" s="10">
        <f>SUM(D8:D11)</f>
        <v/>
      </c>
      <c r="E12" s="11">
        <f>SUM(E8:E11)</f>
        <v/>
      </c>
      <c r="F12" s="11">
        <f>SUM(F8:F11)</f>
        <v/>
      </c>
      <c r="G12" s="11">
        <f>SUM(G8:G11)</f>
        <v/>
      </c>
    </row>
    <row r="13">
      <c r="A13" t="inlineStr"/>
      <c r="B13" s="10" t="n"/>
      <c r="C13" s="10" t="n"/>
      <c r="D13" s="10" t="n"/>
      <c r="E13" s="11" t="n"/>
      <c r="F13" s="11" t="n"/>
      <c r="G13" s="11" t="n"/>
    </row>
    <row r="14">
      <c r="A14" t="inlineStr">
        <is>
          <t>Non-Current Assets:</t>
        </is>
      </c>
      <c r="B14" s="10" t="n"/>
      <c r="C14" s="10" t="n"/>
      <c r="D14" s="10" t="n"/>
      <c r="E14" s="11" t="n"/>
      <c r="F14" s="11" t="n"/>
      <c r="G14" s="11" t="n"/>
    </row>
    <row r="15">
      <c r="A15" t="inlineStr">
        <is>
          <t xml:space="preserve">  Net Property, Plant &amp; Equipment</t>
        </is>
      </c>
      <c r="B15" s="6" t="n">
        <v>2239.033</v>
      </c>
      <c r="C15" s="6" t="n">
        <v>2811.421</v>
      </c>
      <c r="D15" s="6" t="n">
        <v>3196.873</v>
      </c>
      <c r="E15" s="11">
        <f>D15+'Cash Flow Statement'!E16+'Income Statement'!E14</f>
        <v/>
      </c>
      <c r="F15" s="11">
        <f>E15+'Cash Flow Statement'!F16+'Income Statement'!F14</f>
        <v/>
      </c>
      <c r="G15" s="11">
        <f>F15+'Cash Flow Statement'!G16+'Income Statement'!G14</f>
        <v/>
      </c>
    </row>
    <row r="16">
      <c r="A16" t="inlineStr">
        <is>
          <t xml:space="preserve">  Other Non-Current Assets</t>
        </is>
      </c>
      <c r="B16" s="6" t="n">
        <v>208.552</v>
      </c>
      <c r="C16" s="6" t="n">
        <v>219.943</v>
      </c>
      <c r="D16" s="6" t="n">
        <v>426.117</v>
      </c>
      <c r="E16" s="7" t="n">
        <v>430</v>
      </c>
      <c r="F16" s="7" t="n">
        <v>450</v>
      </c>
      <c r="G16" s="7" t="n">
        <v>470</v>
      </c>
    </row>
    <row r="17">
      <c r="A17" s="5" t="inlineStr">
        <is>
          <t>Total Non-Current Assets</t>
        </is>
      </c>
      <c r="B17" s="10">
        <f>SUM(B15:B16)</f>
        <v/>
      </c>
      <c r="C17" s="10">
        <f>SUM(C15:C16)</f>
        <v/>
      </c>
      <c r="D17" s="10">
        <f>SUM(D15:D16)</f>
        <v/>
      </c>
      <c r="E17" s="11">
        <f>SUM(E15:E16)</f>
        <v/>
      </c>
      <c r="F17" s="11">
        <f>SUM(F15:F16)</f>
        <v/>
      </c>
      <c r="G17" s="11">
        <f>SUM(G15:G16)</f>
        <v/>
      </c>
    </row>
    <row r="18">
      <c r="A18" t="inlineStr"/>
      <c r="B18" s="10" t="n"/>
      <c r="C18" s="10" t="n"/>
      <c r="D18" s="10" t="n"/>
      <c r="E18" s="11" t="n"/>
      <c r="F18" s="11" t="n"/>
      <c r="G18" s="11" t="n"/>
    </row>
    <row r="19">
      <c r="A19" s="5" t="inlineStr">
        <is>
          <t>TOTAL ASSETS</t>
        </is>
      </c>
      <c r="B19" s="6" t="n">
        <v>5607.038</v>
      </c>
      <c r="C19" s="6" t="n">
        <v>7091.941</v>
      </c>
      <c r="D19" s="6" t="n">
        <v>7603.292</v>
      </c>
      <c r="E19" s="11">
        <f>E12+E17</f>
        <v/>
      </c>
      <c r="F19" s="11">
        <f>F12+F17</f>
        <v/>
      </c>
      <c r="G19" s="11">
        <f>G12+G17</f>
        <v/>
      </c>
    </row>
    <row r="20">
      <c r="A20" t="inlineStr"/>
      <c r="B20" s="10" t="n"/>
      <c r="C20" s="10" t="n"/>
      <c r="D20" s="10" t="n"/>
      <c r="E20" s="11" t="n"/>
      <c r="F20" s="11" t="n"/>
      <c r="G20" s="11" t="n"/>
    </row>
    <row r="21">
      <c r="A21" s="5" t="inlineStr">
        <is>
          <t>LIABILITIES</t>
        </is>
      </c>
      <c r="B21" s="10" t="n"/>
      <c r="C21" s="10" t="n"/>
      <c r="D21" s="10" t="n"/>
      <c r="E21" s="11" t="n"/>
      <c r="F21" s="11" t="n"/>
      <c r="G21" s="11" t="n"/>
    </row>
    <row r="22">
      <c r="A22" t="inlineStr">
        <is>
          <t>Current Liabilities:</t>
        </is>
      </c>
      <c r="B22" s="10" t="n"/>
      <c r="C22" s="10" t="n"/>
      <c r="D22" s="10" t="n"/>
      <c r="E22" s="11" t="n"/>
      <c r="F22" s="11" t="n"/>
      <c r="G22" s="11" t="n"/>
    </row>
    <row r="23">
      <c r="A23" t="inlineStr">
        <is>
          <t xml:space="preserve">  Accounts Payable</t>
        </is>
      </c>
      <c r="B23" s="6" t="n">
        <v>172.732</v>
      </c>
      <c r="C23" s="6" t="n">
        <v>348.441</v>
      </c>
      <c r="D23" s="6" t="n">
        <v>271.406</v>
      </c>
      <c r="E23" s="7" t="n">
        <v>283</v>
      </c>
      <c r="F23" s="7" t="n">
        <v>295.7</v>
      </c>
      <c r="G23" s="7" t="n">
        <v>312.5</v>
      </c>
    </row>
    <row r="24">
      <c r="A24" t="inlineStr">
        <is>
          <t xml:space="preserve">  Accrued &amp; Other Current Liab</t>
        </is>
      </c>
      <c r="B24" s="6" t="n">
        <v>937.273</v>
      </c>
      <c r="C24" s="6" t="n">
        <v>1021.452</v>
      </c>
      <c r="D24" s="6" t="n">
        <v>1109.944</v>
      </c>
      <c r="E24" s="7" t="n">
        <v>1157.3</v>
      </c>
      <c r="F24" s="7" t="n">
        <v>1209.5</v>
      </c>
      <c r="G24" s="7" t="n">
        <v>1277.9</v>
      </c>
    </row>
    <row r="25">
      <c r="A25" t="inlineStr">
        <is>
          <t xml:space="preserve">  Short-term Borrowings</t>
        </is>
      </c>
      <c r="B25" s="6" t="n">
        <v>207.972</v>
      </c>
      <c r="C25" s="6" t="n">
        <v>249.27</v>
      </c>
      <c r="D25" s="6" t="n">
        <v>275.154</v>
      </c>
      <c r="E25" s="7" t="n">
        <v>290</v>
      </c>
      <c r="F25" s="7" t="n">
        <v>305</v>
      </c>
      <c r="G25" s="7" t="n">
        <v>320</v>
      </c>
    </row>
    <row r="26">
      <c r="A26" t="inlineStr">
        <is>
          <t xml:space="preserve">  Taxes Payable</t>
        </is>
      </c>
      <c r="B26" s="6" t="n">
        <v>174.221</v>
      </c>
      <c r="C26" s="6" t="n">
        <v>12.098</v>
      </c>
      <c r="D26" s="6" t="n">
        <v>183.126</v>
      </c>
      <c r="E26" s="7" t="n">
        <v>150</v>
      </c>
      <c r="F26" s="7" t="n">
        <v>150</v>
      </c>
      <c r="G26" s="7" t="n">
        <v>150</v>
      </c>
    </row>
    <row r="27">
      <c r="A27" s="5" t="inlineStr">
        <is>
          <t>Total Current Liabilities</t>
        </is>
      </c>
      <c r="B27" s="6" t="n">
        <v>1492.198</v>
      </c>
      <c r="C27" s="6" t="n">
        <v>1631.261</v>
      </c>
      <c r="D27" s="6" t="n">
        <v>1839.63</v>
      </c>
      <c r="E27" s="11">
        <f>SUM(E23:E26)</f>
        <v/>
      </c>
      <c r="F27" s="11">
        <f>SUM(F23:F26)</f>
        <v/>
      </c>
      <c r="G27" s="11">
        <f>SUM(G23:G26)</f>
        <v/>
      </c>
    </row>
    <row r="28">
      <c r="A28" t="inlineStr"/>
      <c r="B28" s="10" t="n"/>
      <c r="C28" s="10" t="n"/>
      <c r="D28" s="10" t="n"/>
      <c r="E28" s="11" t="n"/>
      <c r="F28" s="11" t="n"/>
      <c r="G28" s="11" t="n"/>
    </row>
    <row r="29">
      <c r="A29" t="inlineStr">
        <is>
          <t>Non-Current Liabilities:</t>
        </is>
      </c>
      <c r="B29" s="10" t="n"/>
      <c r="C29" s="10" t="n"/>
      <c r="D29" s="10" t="n"/>
      <c r="E29" s="11" t="n"/>
      <c r="F29" s="11" t="n"/>
      <c r="G29" s="11" t="n"/>
    </row>
    <row r="30">
      <c r="A30" t="inlineStr">
        <is>
          <t xml:space="preserve">  Long-term Debt</t>
        </is>
      </c>
      <c r="B30" s="6" t="n">
        <v>862.362</v>
      </c>
      <c r="C30" s="6" t="n">
        <v>1154.012</v>
      </c>
      <c r="D30" s="6" t="n">
        <v>1300.637</v>
      </c>
      <c r="E30" s="7" t="n">
        <v>1350</v>
      </c>
      <c r="F30" s="7" t="n">
        <v>1400</v>
      </c>
      <c r="G30" s="7" t="n">
        <v>1450</v>
      </c>
    </row>
    <row r="31">
      <c r="A31" t="inlineStr">
        <is>
          <t xml:space="preserve">  Other Non-Current Liabilities</t>
        </is>
      </c>
      <c r="B31" s="6" t="n">
        <v>103.679</v>
      </c>
      <c r="C31" s="6" t="n">
        <v>74.587</v>
      </c>
      <c r="D31" s="6" t="n">
        <v>138.978</v>
      </c>
      <c r="E31" s="7" t="n">
        <v>145</v>
      </c>
      <c r="F31" s="7" t="n">
        <v>150</v>
      </c>
      <c r="G31" s="7" t="n">
        <v>155</v>
      </c>
    </row>
    <row r="32">
      <c r="A32" s="5" t="inlineStr">
        <is>
          <t>Total Non-Current Liabilities</t>
        </is>
      </c>
      <c r="B32" s="10">
        <f>SUM(B30:B31)</f>
        <v/>
      </c>
      <c r="C32" s="10">
        <f>SUM(C30:C31)</f>
        <v/>
      </c>
      <c r="D32" s="10">
        <f>SUM(D30:D31)</f>
        <v/>
      </c>
      <c r="E32" s="11">
        <f>SUM(E30:E31)</f>
        <v/>
      </c>
      <c r="F32" s="11">
        <f>SUM(F30:F31)</f>
        <v/>
      </c>
      <c r="G32" s="11">
        <f>SUM(G30:G31)</f>
        <v/>
      </c>
    </row>
    <row r="33">
      <c r="A33" t="inlineStr"/>
      <c r="B33" s="10" t="n"/>
      <c r="C33" s="10" t="n"/>
      <c r="D33" s="10" t="n"/>
      <c r="E33" s="11" t="n"/>
      <c r="F33" s="11" t="n"/>
      <c r="G33" s="11" t="n"/>
    </row>
    <row r="34">
      <c r="A34" s="5" t="inlineStr">
        <is>
          <t>TOTAL LIABILITIES</t>
        </is>
      </c>
      <c r="B34" s="6" t="n">
        <v>2458.239</v>
      </c>
      <c r="C34" s="6" t="n">
        <v>2859.86</v>
      </c>
      <c r="D34" s="6" t="n">
        <v>3279.245</v>
      </c>
      <c r="E34" s="11">
        <f>E27+E32</f>
        <v/>
      </c>
      <c r="F34" s="11">
        <f>F27+F32</f>
        <v/>
      </c>
      <c r="G34" s="11">
        <f>G27+G32</f>
        <v/>
      </c>
    </row>
    <row r="35">
      <c r="A35" t="inlineStr"/>
      <c r="B35" s="10" t="n"/>
      <c r="C35" s="10" t="n"/>
      <c r="D35" s="10" t="n"/>
      <c r="E35" s="11" t="n"/>
      <c r="F35" s="11" t="n"/>
      <c r="G35" s="11" t="n"/>
    </row>
    <row r="36">
      <c r="A36" s="5" t="inlineStr">
        <is>
          <t>SHAREHOLDERS' EQUITY</t>
        </is>
      </c>
      <c r="B36" s="10" t="n"/>
      <c r="C36" s="10" t="n"/>
      <c r="D36" s="10" t="n"/>
      <c r="E36" s="11" t="n"/>
      <c r="F36" s="11" t="n"/>
      <c r="G36" s="11" t="n"/>
    </row>
    <row r="37">
      <c r="A37" t="inlineStr">
        <is>
          <t xml:space="preserve">  Common Stock &amp; APIC</t>
        </is>
      </c>
      <c r="B37" s="6" t="n">
        <v>475.256</v>
      </c>
      <c r="C37" s="6" t="n">
        <v>575.975</v>
      </c>
      <c r="D37" s="6" t="n">
        <v>638.771</v>
      </c>
      <c r="E37" s="7" t="n">
        <v>680</v>
      </c>
      <c r="F37" s="7" t="n">
        <v>720</v>
      </c>
      <c r="G37" s="7" t="n">
        <v>760</v>
      </c>
    </row>
    <row r="38">
      <c r="A38" t="inlineStr">
        <is>
          <t xml:space="preserve">  Retained Earnings</t>
        </is>
      </c>
      <c r="B38" s="6" t="n">
        <v>2926.127</v>
      </c>
      <c r="C38" s="6" t="n">
        <v>3920.362</v>
      </c>
      <c r="D38" s="6" t="n">
        <v>4109.717</v>
      </c>
      <c r="E38" s="11">
        <f>D38+'Income Statement'!E27</f>
        <v/>
      </c>
      <c r="F38" s="11">
        <f>E38+'Income Statement'!F27</f>
        <v/>
      </c>
      <c r="G38" s="11">
        <f>F38+'Income Statement'!G27</f>
        <v/>
      </c>
    </row>
    <row r="39">
      <c r="A39" t="inlineStr">
        <is>
          <t xml:space="preserve">  Accum. Other Comprehensive Inc</t>
        </is>
      </c>
      <c r="B39" s="6" t="n">
        <v>-252.584</v>
      </c>
      <c r="C39" s="6" t="n">
        <v>-264.256</v>
      </c>
      <c r="D39" s="6" t="n">
        <v>-424.441</v>
      </c>
      <c r="E39" s="7" t="n">
        <v>-450</v>
      </c>
      <c r="F39" s="7" t="n">
        <v>-475</v>
      </c>
      <c r="G39" s="7" t="n">
        <v>-500</v>
      </c>
    </row>
    <row r="40">
      <c r="A40" s="5" t="inlineStr">
        <is>
          <t>TOTAL SHAREHOLDERS' EQUITY</t>
        </is>
      </c>
      <c r="B40" s="6" t="n">
        <v>3148.799</v>
      </c>
      <c r="C40" s="6" t="n">
        <v>4232.081</v>
      </c>
      <c r="D40" s="6" t="n">
        <v>4324.047</v>
      </c>
      <c r="E40" s="11">
        <f>SUM(E37:E39)</f>
        <v/>
      </c>
      <c r="F40" s="11">
        <f>SUM(F37:F39)</f>
        <v/>
      </c>
      <c r="G40" s="11">
        <f>SUM(G37:G39)</f>
        <v/>
      </c>
    </row>
    <row r="41">
      <c r="A41" t="inlineStr"/>
      <c r="B41" s="10" t="n"/>
      <c r="C41" s="10" t="n"/>
      <c r="D41" s="10" t="n"/>
      <c r="E41" s="11" t="n"/>
      <c r="F41" s="11" t="n"/>
      <c r="G41" s="11" t="n"/>
    </row>
    <row r="42">
      <c r="A42" s="5" t="inlineStr">
        <is>
          <t>TOTAL LIABILITIES &amp; EQUITY</t>
        </is>
      </c>
      <c r="B42" s="10">
        <f>B34+B40</f>
        <v/>
      </c>
      <c r="C42" s="10">
        <f>C34+C40</f>
        <v/>
      </c>
      <c r="D42" s="10">
        <f>D34+D40</f>
        <v/>
      </c>
      <c r="E42" s="11">
        <f>E34+E40</f>
        <v/>
      </c>
      <c r="F42" s="11">
        <f>F34+F40</f>
        <v/>
      </c>
      <c r="G42" s="11">
        <f>G34+G40</f>
        <v/>
      </c>
    </row>
    <row r="43">
      <c r="A43" t="inlineStr"/>
      <c r="B43" s="10" t="n"/>
      <c r="C43" s="10" t="n"/>
      <c r="D43" s="10" t="n"/>
      <c r="E43" s="11" t="n"/>
      <c r="F43" s="11" t="n"/>
      <c r="G43" s="11" t="n"/>
    </row>
    <row r="44">
      <c r="A44" t="inlineStr">
        <is>
          <t>CHECK: Assets = Liabilities + Equity</t>
        </is>
      </c>
      <c r="B44" s="10">
        <f>B19-B42</f>
        <v/>
      </c>
      <c r="C44" s="10">
        <f>C19-C42</f>
        <v/>
      </c>
      <c r="D44" s="10">
        <f>D19-D42</f>
        <v/>
      </c>
      <c r="E44" s="11">
        <f>E19-E42</f>
        <v/>
      </c>
      <c r="F44" s="11">
        <f>F19-F42</f>
        <v/>
      </c>
      <c r="G44" s="11">
        <f>G19-G42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LULULEMON ATHLETICA INC.</t>
        </is>
      </c>
    </row>
    <row r="2">
      <c r="A2" s="2" t="inlineStr">
        <is>
          <t>Pro Forma Cash Flow Statement ($ in millions)</t>
        </is>
      </c>
    </row>
    <row r="3">
      <c r="A3" s="3" t="inlineStr">
        <is>
          <t>Source: Bloomberg Terminal</t>
        </is>
      </c>
    </row>
    <row r="5">
      <c r="B5" s="4" t="inlineStr">
        <is>
          <t>FY2023A</t>
        </is>
      </c>
      <c r="C5" s="4" t="inlineStr">
        <is>
          <t>FY2024A</t>
        </is>
      </c>
      <c r="D5" s="4" t="inlineStr">
        <is>
          <t>FY2025A</t>
        </is>
      </c>
      <c r="E5" s="4" t="inlineStr">
        <is>
          <t>FY2026E</t>
        </is>
      </c>
      <c r="F5" s="4" t="inlineStr">
        <is>
          <t>FY2027E</t>
        </is>
      </c>
      <c r="G5" s="4" t="inlineStr">
        <is>
          <t>FY2028E</t>
        </is>
      </c>
    </row>
    <row r="6">
      <c r="A6" s="5" t="inlineStr">
        <is>
          <t>OPERATING ACTIVITIES</t>
        </is>
      </c>
      <c r="B6" s="10" t="n"/>
      <c r="C6" s="10" t="n"/>
      <c r="D6" s="10" t="n"/>
      <c r="E6" s="11" t="n"/>
      <c r="F6" s="11" t="n"/>
      <c r="G6" s="11" t="n"/>
    </row>
    <row r="7">
      <c r="A7" t="inlineStr">
        <is>
          <t xml:space="preserve">  Net Income</t>
        </is>
      </c>
      <c r="B7" s="6" t="n">
        <v>854.8</v>
      </c>
      <c r="C7" s="6" t="n">
        <v>1550.19</v>
      </c>
      <c r="D7" s="6" t="n">
        <v>1814.616</v>
      </c>
      <c r="E7" s="11">
        <f>'Income Statement'!E27</f>
        <v/>
      </c>
      <c r="F7" s="11">
        <f>'Income Statement'!F27</f>
        <v/>
      </c>
      <c r="G7" s="11">
        <f>'Income Statement'!G27</f>
        <v/>
      </c>
    </row>
    <row r="8">
      <c r="A8" t="inlineStr">
        <is>
          <t xml:space="preserve">  Depreciation &amp; Amortization</t>
        </is>
      </c>
      <c r="B8" s="6" t="n">
        <v>291.791</v>
      </c>
      <c r="C8" s="6" t="n">
        <v>379.384</v>
      </c>
      <c r="D8" s="6" t="n">
        <v>446.524</v>
      </c>
      <c r="E8" s="11">
        <f>'Income Statement'!E14</f>
        <v/>
      </c>
      <c r="F8" s="11">
        <f>'Income Statement'!F14</f>
        <v/>
      </c>
      <c r="G8" s="11">
        <f>'Income Statement'!G14</f>
        <v/>
      </c>
    </row>
    <row r="9">
      <c r="A9" t="inlineStr">
        <is>
          <t xml:space="preserve">  Other Non-Cash Adjustments</t>
        </is>
      </c>
      <c r="B9" s="6" t="n">
        <v>401.326</v>
      </c>
      <c r="C9" s="6" t="n">
        <v>163.852</v>
      </c>
      <c r="D9" s="6" t="n">
        <v>16.252</v>
      </c>
      <c r="E9" s="7" t="n">
        <v>50</v>
      </c>
      <c r="F9" s="7" t="n">
        <v>50</v>
      </c>
      <c r="G9" s="7" t="n">
        <v>50</v>
      </c>
    </row>
    <row r="10">
      <c r="A10" t="inlineStr">
        <is>
          <t xml:space="preserve">  Changes in Working Capital</t>
        </is>
      </c>
      <c r="B10" s="6" t="n">
        <v>-581.454</v>
      </c>
      <c r="C10" s="6" t="n">
        <v>202.738</v>
      </c>
      <c r="D10" s="6" t="n">
        <v>-4.679</v>
      </c>
      <c r="E10" s="7" t="n">
        <v>-100</v>
      </c>
      <c r="F10" s="7" t="n">
        <v>-50</v>
      </c>
      <c r="G10" s="7" t="n">
        <v>-75</v>
      </c>
    </row>
    <row r="11">
      <c r="A11" s="5" t="inlineStr">
        <is>
          <t>Net Cash from Operating Activities</t>
        </is>
      </c>
      <c r="B11" s="6" t="n">
        <v>966.463</v>
      </c>
      <c r="C11" s="6" t="n">
        <v>2296.164</v>
      </c>
      <c r="D11" s="6" t="n">
        <v>2272.713</v>
      </c>
      <c r="E11" s="11">
        <f>SUM(E7:E11)</f>
        <v/>
      </c>
      <c r="F11" s="11">
        <f>SUM(F7:F11)</f>
        <v/>
      </c>
      <c r="G11" s="11">
        <f>SUM(G7:G11)</f>
        <v/>
      </c>
    </row>
    <row r="12">
      <c r="A12" t="inlineStr"/>
      <c r="B12" s="10" t="n"/>
      <c r="C12" s="10" t="n"/>
      <c r="D12" s="10" t="n"/>
      <c r="E12" s="11" t="n"/>
      <c r="F12" s="11" t="n"/>
      <c r="G12" s="11" t="n"/>
    </row>
    <row r="13">
      <c r="A13" s="5" t="inlineStr">
        <is>
          <t>INVESTING ACTIVITIES</t>
        </is>
      </c>
      <c r="B13" s="10" t="n"/>
      <c r="C13" s="10" t="n"/>
      <c r="D13" s="10" t="n"/>
      <c r="E13" s="11" t="n"/>
      <c r="F13" s="11" t="n"/>
      <c r="G13" s="11" t="n"/>
    </row>
    <row r="14">
      <c r="A14" t="inlineStr">
        <is>
          <t xml:space="preserve">  Capital Expenditures</t>
        </is>
      </c>
      <c r="B14" s="6" t="n">
        <v>-638.657</v>
      </c>
      <c r="C14" s="6" t="n">
        <v>-651.865</v>
      </c>
      <c r="D14" s="6" t="n">
        <v>-689.232</v>
      </c>
      <c r="E14" s="7" t="n">
        <v>-718.7</v>
      </c>
      <c r="F14" s="7" t="n">
        <v>-751</v>
      </c>
      <c r="G14" s="7" t="n">
        <v>-793.5</v>
      </c>
    </row>
    <row r="15">
      <c r="A15" t="inlineStr">
        <is>
          <t xml:space="preserve">  Other Investing Activities</t>
        </is>
      </c>
      <c r="B15" s="6" t="n">
        <v>68.72</v>
      </c>
      <c r="C15" s="6" t="n">
        <v>-2.267</v>
      </c>
      <c r="D15" s="6" t="n">
        <v>-108.942</v>
      </c>
      <c r="E15" s="7" t="n">
        <v>-50</v>
      </c>
      <c r="F15" s="7" t="n">
        <v>-50</v>
      </c>
      <c r="G15" s="7" t="n">
        <v>-50</v>
      </c>
    </row>
    <row r="16">
      <c r="A16" s="5" t="inlineStr">
        <is>
          <t>Net Cash from Investing Activities</t>
        </is>
      </c>
      <c r="B16" s="6" t="n">
        <v>-569.937</v>
      </c>
      <c r="C16" s="6" t="n">
        <v>-654.1319999999999</v>
      </c>
      <c r="D16" s="6" t="n">
        <v>-798.174</v>
      </c>
      <c r="E16" s="11">
        <f>SUM(E16:E17)</f>
        <v/>
      </c>
      <c r="F16" s="11">
        <f>SUM(F16:F17)</f>
        <v/>
      </c>
      <c r="G16" s="11">
        <f>SUM(G16:G17)</f>
        <v/>
      </c>
    </row>
    <row r="17">
      <c r="A17" t="inlineStr"/>
      <c r="B17" s="10" t="n"/>
      <c r="C17" s="10" t="n"/>
      <c r="D17" s="10" t="n"/>
      <c r="E17" s="11" t="n"/>
      <c r="F17" s="11" t="n"/>
      <c r="G17" s="11" t="n"/>
    </row>
    <row r="18">
      <c r="A18" s="5" t="inlineStr">
        <is>
          <t>FINANCING ACTIVITIES</t>
        </is>
      </c>
      <c r="B18" s="10" t="n"/>
      <c r="C18" s="10" t="n"/>
      <c r="D18" s="10" t="n"/>
      <c r="E18" s="11" t="n"/>
      <c r="F18" s="11" t="n"/>
      <c r="G18" s="11" t="n"/>
    </row>
    <row r="19">
      <c r="A19" t="inlineStr">
        <is>
          <t xml:space="preserve">  Stock Issuance</t>
        </is>
      </c>
      <c r="B19" s="6" t="n">
        <v>11.704</v>
      </c>
      <c r="C19" s="6" t="n">
        <v>42.43</v>
      </c>
      <c r="D19" s="6" t="n">
        <v>19.813</v>
      </c>
      <c r="E19" s="7" t="n">
        <v>25</v>
      </c>
      <c r="F19" s="7" t="n">
        <v>25</v>
      </c>
      <c r="G19" s="7" t="n">
        <v>25</v>
      </c>
    </row>
    <row r="20">
      <c r="A20" t="inlineStr">
        <is>
          <t xml:space="preserve">  Stock Repurchases</t>
        </is>
      </c>
      <c r="B20" s="6" t="n">
        <v>-479.159</v>
      </c>
      <c r="C20" s="6" t="n">
        <v>-591.226</v>
      </c>
      <c r="D20" s="6" t="n">
        <v>-1672.289</v>
      </c>
      <c r="E20" s="7" t="n">
        <v>-800</v>
      </c>
      <c r="F20" s="7" t="n">
        <v>-800</v>
      </c>
      <c r="G20" s="7" t="n">
        <v>-800</v>
      </c>
    </row>
    <row r="21">
      <c r="A21" t="inlineStr">
        <is>
          <t xml:space="preserve">  Other Financing Activities</t>
        </is>
      </c>
      <c r="B21" s="6" t="n">
        <v>-34.075</v>
      </c>
      <c r="C21" s="6" t="n">
        <v>-4.132</v>
      </c>
      <c r="D21" s="6" t="n">
        <v>-81.69799999999999</v>
      </c>
      <c r="E21" s="7" t="n">
        <v>-50</v>
      </c>
      <c r="F21" s="7" t="n">
        <v>-50</v>
      </c>
      <c r="G21" s="7" t="n">
        <v>-50</v>
      </c>
    </row>
    <row r="22">
      <c r="A22" s="5" t="inlineStr">
        <is>
          <t>Net Cash from Financing Activities</t>
        </is>
      </c>
      <c r="B22" s="6" t="n">
        <v>-501.53</v>
      </c>
      <c r="C22" s="6" t="n">
        <v>-552.928</v>
      </c>
      <c r="D22" s="6" t="n">
        <v>-1734.174</v>
      </c>
      <c r="E22" s="11">
        <f>SUM(E22:E24)</f>
        <v/>
      </c>
      <c r="F22" s="11">
        <f>SUM(F22:F24)</f>
        <v/>
      </c>
      <c r="G22" s="11">
        <f>SUM(G22:G24)</f>
        <v/>
      </c>
    </row>
    <row r="23">
      <c r="A23" t="inlineStr"/>
      <c r="B23" s="10" t="n"/>
      <c r="C23" s="10" t="n"/>
      <c r="D23" s="10" t="n"/>
      <c r="E23" s="11" t="n"/>
      <c r="F23" s="11" t="n"/>
      <c r="G23" s="11" t="n"/>
    </row>
    <row r="24">
      <c r="A24" s="5" t="inlineStr">
        <is>
          <t>Net Change in Cash</t>
        </is>
      </c>
      <c r="B24" s="6" t="n">
        <v>-105.004</v>
      </c>
      <c r="C24" s="6" t="n">
        <v>1089.104</v>
      </c>
      <c r="D24" s="6" t="n">
        <v>-259.635</v>
      </c>
      <c r="E24" s="11">
        <f>E12+E18+E25</f>
        <v/>
      </c>
      <c r="F24" s="11">
        <f>F12+F18+F25</f>
        <v/>
      </c>
      <c r="G24" s="11">
        <f>G12+G18+G25</f>
        <v/>
      </c>
    </row>
    <row r="25">
      <c r="A25" t="inlineStr">
        <is>
          <t>Beginning Cash Balance</t>
        </is>
      </c>
      <c r="B25" s="6" t="n">
        <v>1259.871</v>
      </c>
      <c r="C25" s="6" t="n">
        <v>1154.867</v>
      </c>
      <c r="D25" s="6" t="n">
        <v>2243.971</v>
      </c>
      <c r="E25" s="11">
        <f>'Balance Sheet'!D8</f>
        <v/>
      </c>
      <c r="F25" s="11">
        <f>'Balance Sheet'!E8</f>
        <v/>
      </c>
      <c r="G25" s="11">
        <f>'Balance Sheet'!F8</f>
        <v/>
      </c>
    </row>
    <row r="26">
      <c r="A26" s="5" t="inlineStr">
        <is>
          <t>Ending Cash Balance</t>
        </is>
      </c>
      <c r="B26" s="6" t="n">
        <v>1154.867</v>
      </c>
      <c r="C26" s="6" t="n">
        <v>2243.971</v>
      </c>
      <c r="D26" s="6" t="n">
        <v>1984.336</v>
      </c>
      <c r="E26" s="11">
        <f>E27+E28</f>
        <v/>
      </c>
      <c r="F26" s="11">
        <f>F27+F28</f>
        <v/>
      </c>
      <c r="G26" s="11">
        <f>G27+G28</f>
        <v/>
      </c>
    </row>
    <row r="27">
      <c r="A27" t="inlineStr"/>
      <c r="B27" s="10" t="n"/>
      <c r="C27" s="10" t="n"/>
      <c r="D27" s="10" t="n"/>
      <c r="E27" s="11" t="n"/>
      <c r="F27" s="11" t="n"/>
      <c r="G27" s="11" t="n"/>
    </row>
    <row r="28">
      <c r="A28" s="5" t="inlineStr">
        <is>
          <t>Free Cash Flow (CFO - CapEx)</t>
        </is>
      </c>
      <c r="B28" s="6" t="n">
        <v>327.806</v>
      </c>
      <c r="C28" s="6" t="n">
        <v>1644.299</v>
      </c>
      <c r="D28" s="6" t="n">
        <v>1583.481</v>
      </c>
      <c r="E28" s="11">
        <f>E12-ABS(E16)</f>
        <v/>
      </c>
      <c r="F28" s="11">
        <f>F12-ABS(F16)</f>
        <v/>
      </c>
      <c r="G28" s="11">
        <f>G12-ABS(G16)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15" customWidth="1" min="4" max="4"/>
  </cols>
  <sheetData>
    <row r="1">
      <c r="A1" s="12" t="inlineStr">
        <is>
          <t>LULULEMON ATHLETICA - PRO FORMA MODEL</t>
        </is>
      </c>
    </row>
    <row r="2">
      <c r="A2" s="13" t="inlineStr">
        <is>
          <t>Data Source: Bloomberg Terminal</t>
        </is>
      </c>
    </row>
    <row r="4">
      <c r="A4" t="inlineStr"/>
      <c r="B4" t="inlineStr"/>
    </row>
    <row r="5">
      <c r="A5" s="14" t="inlineStr">
        <is>
          <t>DATA SOURCE</t>
        </is>
      </c>
      <c r="B5" t="inlineStr">
        <is>
          <t>Bloomberg Macro XIDF (1).xlsm</t>
        </is>
      </c>
    </row>
    <row r="6">
      <c r="A6" t="inlineStr">
        <is>
          <t>Date Accessed</t>
        </is>
      </c>
      <c r="B6" t="inlineStr">
        <is>
          <t>February 2026</t>
        </is>
      </c>
    </row>
    <row r="7">
      <c r="A7" t="inlineStr"/>
      <c r="B7" t="inlineStr"/>
    </row>
    <row r="8">
      <c r="A8" s="14" t="inlineStr">
        <is>
          <t>HISTORICAL DATA (Actuals)</t>
        </is>
      </c>
      <c r="B8" t="inlineStr"/>
      <c r="C8" t="inlineStr"/>
      <c r="D8" t="inlineStr"/>
    </row>
    <row r="9">
      <c r="A9" t="inlineStr">
        <is>
          <t>Fiscal Year</t>
        </is>
      </c>
      <c r="B9" t="inlineStr">
        <is>
          <t>Revenue ($M)</t>
        </is>
      </c>
      <c r="C9" t="inlineStr">
        <is>
          <t>Net Income ($M)</t>
        </is>
      </c>
      <c r="D9" t="inlineStr">
        <is>
          <t>Growth Rate</t>
        </is>
      </c>
    </row>
    <row r="10">
      <c r="A10" t="inlineStr">
        <is>
          <t>FY 2023</t>
        </is>
      </c>
      <c r="B10" t="n">
        <v>8110.5</v>
      </c>
      <c r="C10" t="n">
        <v>854.8</v>
      </c>
      <c r="D10" t="inlineStr">
        <is>
          <t>29.6%</t>
        </is>
      </c>
    </row>
    <row r="11">
      <c r="A11" t="inlineStr">
        <is>
          <t>FY 2024</t>
        </is>
      </c>
      <c r="B11" t="n">
        <v>9619.299999999999</v>
      </c>
      <c r="C11" t="n">
        <v>1550.2</v>
      </c>
      <c r="D11" t="inlineStr">
        <is>
          <t>18.6%</t>
        </is>
      </c>
    </row>
    <row r="12">
      <c r="A12" t="inlineStr">
        <is>
          <t>FY 2025</t>
        </is>
      </c>
      <c r="B12" t="n">
        <v>10588.1</v>
      </c>
      <c r="C12" t="n">
        <v>1814.6</v>
      </c>
      <c r="D12" t="inlineStr">
        <is>
          <t>10.1%</t>
        </is>
      </c>
    </row>
    <row r="13">
      <c r="A13" t="inlineStr"/>
      <c r="B13" t="inlineStr"/>
    </row>
    <row r="14">
      <c r="A14" s="14" t="inlineStr">
        <is>
          <t>CONSENSUS ESTIMATES (Bloomberg)</t>
        </is>
      </c>
      <c r="B14" t="inlineStr"/>
      <c r="C14" t="inlineStr"/>
      <c r="D14" t="inlineStr"/>
    </row>
    <row r="15">
      <c r="A15" t="inlineStr">
        <is>
          <t>Fiscal Year</t>
        </is>
      </c>
      <c r="B15" t="inlineStr">
        <is>
          <t>Revenue ($M)</t>
        </is>
      </c>
      <c r="C15" t="inlineStr">
        <is>
          <t>Net Income ($M)</t>
        </is>
      </c>
      <c r="D15" t="inlineStr">
        <is>
          <t>Growth Rate</t>
        </is>
      </c>
    </row>
    <row r="16">
      <c r="A16" t="inlineStr">
        <is>
          <t>FY 2026E</t>
        </is>
      </c>
      <c r="B16" t="n">
        <v>11040.3</v>
      </c>
      <c r="C16" t="n">
        <v>1554.2</v>
      </c>
      <c r="D16" t="inlineStr">
        <is>
          <t>4.3%</t>
        </is>
      </c>
    </row>
    <row r="17">
      <c r="A17" t="inlineStr">
        <is>
          <t>FY 2027E</t>
        </is>
      </c>
      <c r="B17" t="n">
        <v>11537.6</v>
      </c>
      <c r="C17" t="n">
        <v>1463.3</v>
      </c>
      <c r="D17" t="inlineStr">
        <is>
          <t>4.5%</t>
        </is>
      </c>
    </row>
    <row r="18">
      <c r="A18" t="inlineStr">
        <is>
          <t>FY 2028E</t>
        </is>
      </c>
      <c r="B18" t="n">
        <v>12190.5</v>
      </c>
      <c r="C18" t="n">
        <v>1561.6</v>
      </c>
      <c r="D18" t="inlineStr">
        <is>
          <t>5.7%</t>
        </is>
      </c>
    </row>
    <row r="19">
      <c r="A19" t="inlineStr"/>
      <c r="B19" t="inlineStr"/>
    </row>
    <row r="20">
      <c r="A20" s="14" t="inlineStr">
        <is>
          <t>KEY RATIOS (FY2025)</t>
        </is>
      </c>
      <c r="B20" t="inlineStr"/>
      <c r="C20" t="inlineStr"/>
    </row>
    <row r="21">
      <c r="A21" t="inlineStr">
        <is>
          <t>Gross Margin</t>
        </is>
      </c>
      <c r="B21" t="inlineStr">
        <is>
          <t>59.2%</t>
        </is>
      </c>
      <c r="C21" t="inlineStr">
        <is>
          <t>Gross Profit / Revenue</t>
        </is>
      </c>
    </row>
    <row r="22">
      <c r="A22" t="inlineStr">
        <is>
          <t>Operating Margin</t>
        </is>
      </c>
      <c r="B22" t="inlineStr">
        <is>
          <t>23.7%</t>
        </is>
      </c>
      <c r="C22" t="inlineStr">
        <is>
          <t>Operating Income / Revenue</t>
        </is>
      </c>
    </row>
    <row r="23">
      <c r="A23" t="inlineStr">
        <is>
          <t>Net Margin</t>
        </is>
      </c>
      <c r="B23" t="inlineStr">
        <is>
          <t>17.1%</t>
        </is>
      </c>
      <c r="C23" t="inlineStr">
        <is>
          <t>Net Income / Revenue</t>
        </is>
      </c>
    </row>
    <row r="24">
      <c r="A24" t="inlineStr">
        <is>
          <t>Effective Tax Rate</t>
        </is>
      </c>
      <c r="B24" t="inlineStr">
        <is>
          <t>29.6%</t>
        </is>
      </c>
      <c r="C24" t="inlineStr">
        <is>
          <t>Income Tax / Pre-Tax Income</t>
        </is>
      </c>
    </row>
    <row r="25">
      <c r="A25" t="inlineStr"/>
      <c r="B25" t="inlineStr"/>
    </row>
    <row r="26">
      <c r="A26" s="14" t="inlineStr">
        <is>
          <t>ASSUMPTIONS FOR PRO FORMA</t>
        </is>
      </c>
      <c r="B26" t="inlineStr"/>
      <c r="C26" t="inlineStr"/>
    </row>
    <row r="27">
      <c r="A27" t="inlineStr">
        <is>
          <t>Pro forma projections use Bloomberg consensus estimates for revenue and earnings</t>
        </is>
      </c>
    </row>
    <row r="28">
      <c r="A28" t="inlineStr">
        <is>
          <t>Balance sheet items projected using historical ratios to revenue</t>
        </is>
      </c>
    </row>
    <row r="29">
      <c r="A29" t="inlineStr">
        <is>
          <t>Cash flow derived from income and balance sheet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2026-02-19T12:44:44Z</dcterms:created>
  <dcterms:modified xmlns:dcterms="http://purl.org/dc/terms/" xmlns:xsi="http://www.w3.org/2001/XMLSchema-instance" xsi:type="dcterms:W3CDTF">2026-02-19T12:44:44Z</dcterms:modified>
</cp:coreProperties>
</file>